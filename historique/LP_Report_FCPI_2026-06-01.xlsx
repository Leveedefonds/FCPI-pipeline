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<sst xmlns="http://schemas.openxmlformats.org/spreadsheetml/2006/main" count="331" uniqueCount="331">
  <si>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</si>
  <si>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</si>
  <si>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</si>
  <si>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</si>
  <si>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</si>
  <si>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</si>
  <si>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</si>
  <si>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</si>
  <si>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</si>
  <si>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</si>
  <si>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</si>
  <si>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</si>
  <si>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</si>
  <si>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</si>
  <si>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</si>
  <si>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</si>
  <si>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</si>
  <si>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</si>
  <si>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</si>
  <si>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</si>
  <si>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</si>
  <si>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</si>
  <si>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</si>
  <si>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CAP-DEV - Audacia Capital Innovation</t>
  </si>
  <si>
    <t>CGP</t>
  </si>
  <si>
    <t>Cabinet Marc Jesuran</t>
  </si>
  <si>
    <t>Marc JESURAN</t>
  </si>
  <si>
    <t>Pauline Cavalié</t>
  </si>
  <si>
    <t>&lt;p&gt;RDV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campagne.&lt;/p&gt;</t>
  </si>
  <si>
    <t>Souscription réalisée</t>
  </si>
  <si>
    <t>MEILLEURS FCPI</t>
  </si>
  <si>
    <t>Valentin Giraud</t>
  </si>
  <si>
    <t>&lt;p&gt;Appels 03/03 et 21/04 avec Valentin Giraud&amp;nbsp;: rappel sur FCPI, confirmation absence d'accès client, volonté de garder la relation directe. Accord pour envoi courrier clients sur case fiscale manquante. FCPI ouvert jusqu'à fin 2026, dossiers attendus juin/décembre. Pas d'immobilisation cash hors fiscalité.&lt;/p&gt;</t>
  </si>
  <si>
    <t>DPA PATRIMOINE</t>
  </si>
  <si>
    <t>Nicolas Pinchault</t>
  </si>
  <si>
    <t>&lt;p&gt;Convention signée 26/05, docs KYD reçus. Plusieurs échanges (appels, mails, visio) sur offres Audacia, FCPI, immo, deeptech. Intérêt prospect pour immo, méfiance santé, souhaite consulter confrères. Prochaine étape : appel pour estimer souscriptions, organiser RDV équipe immo/FCPI.&lt;/p&gt;</t>
  </si>
  <si>
    <t>MEILLEURSFCPI</t>
  </si>
  <si>
    <t>Cyrille Graton</t>
  </si>
  <si>
    <t>Edouard Gaurier</t>
  </si>
  <si>
    <t>&lt;p&gt;Partenaire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jour.&lt;/p&gt;</t>
  </si>
  <si>
    <t>COMMENT BIEN INVESTIR</t>
  </si>
  <si>
    <t>Benoit Richard</t>
  </si>
  <si>
    <t>&lt;p&gt;Appels réguliers avec Benoit Richard sur FCPI : infos fiscales, envoi attestation, vérification signature convention (signée), envoi deck. Dernier message 28/05 : relance pour montant estimatif des souscriptions à venir. Prochaine étape : attendre retour sur ce montant.&lt;/p&gt;</t>
  </si>
  <si>
    <t>HNWI</t>
  </si>
  <si>
    <t>Gilles Closset</t>
  </si>
  <si>
    <t>&lt;p&gt;Aucune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exprimés.&lt;/p&gt;</t>
  </si>
  <si>
    <t>CABINET PATRIZEN</t>
  </si>
  <si>
    <t>Axel Rotier</t>
  </si>
  <si>
    <t>&lt;p&gt;Echanges réguliers avec le cabinet d’ingénierie fiscale/patrimoniale (50 clients, 10m€ récurrents, 4m€ diversification). Présentation des offres, retours positifs sur la diversification. Convention en cours de signature, relance prévue. Pas de mention de comité ni de contexte de création.&lt;/p&gt;</t>
  </si>
  <si>
    <t>Convention en cours de signature</t>
  </si>
  <si>
    <t>En Due Diligence</t>
  </si>
  <si>
    <t>INTENCIAL</t>
  </si>
  <si>
    <t>Jonathan BENHARROUS</t>
  </si>
  <si>
    <t>Romain Andrieu</t>
  </si>
  <si>
    <t>&lt;p&gt;Comité reporté, pas d'échéance en avril, repositionnement sur mai ou juin. Attente des éléments pour due diligence. Relance prévue dans les prochaines semaines. Pas d'autres retours ou décisions prospect sur fonds à ce stade. Prochaine étape&amp;nbsp;: réception éléments et validation en comité.&lt;/p&gt;</t>
  </si>
  <si>
    <t>8 juin / ouverture de la Due Diligence</t>
  </si>
  <si>
    <t>Clotaire Marchal</t>
  </si>
  <si>
    <t>Levée de Fonds</t>
  </si>
  <si>
    <t>&lt;p&gt;Piste créée pour équipe Ventes le 16/03. Lead enrichi sans données société trouvées (16/03). Mention "Lead de CB" (23/03). Aucun échange, action ou retour prospect identifié depuis. Pas d'activité, pas de prochaine étape connue. Aucun avis prospect sur fonds présenté.&lt;/p&gt;</t>
  </si>
  <si>
    <t>Interêt indicatif - A creuser</t>
  </si>
  <si>
    <t>BALLMONT GESTION PRIVEE</t>
  </si>
  <si>
    <t>Geoffrey Chaumeron</t>
  </si>
  <si>
    <t>&lt;p&gt;Visio 17/03 : présentation FCPI, intérêt pour innovation, demande de transparence et d'infos régulières, défisc prioritaire pour clients. Plusieurs relances et mails pour organiser 2nd RDV avec Cédric et signature convention. Dernier message 28/05 : RDV à organiser, relance en cours.&lt;/p&gt;</t>
  </si>
  <si>
    <t>Bruno Rohée</t>
  </si>
  <si>
    <t>&lt;p&gt;Lead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additionnel.&lt;/p&gt;</t>
  </si>
  <si>
    <t>Lucas Jouan</t>
  </si>
  <si>
    <t>&lt;p&gt;Nouvelle piste créée pour équipe Ventes. Mail envoyé pour prévoir échange téléphonique sur le FCPI. Pas de données société trouvées via enrichissement email. Aucun retour prospect ni activité complémentaire enregistrée. Prochaines étapes : attendre retour pour fixer l'échange téléphonique.&lt;/p&gt;</t>
  </si>
  <si>
    <t>DEBEVE PATRIMOINE</t>
  </si>
  <si>
    <t>Vincent DEBEVE</t>
  </si>
  <si>
    <t>&lt;p&gt;Cold call 11/2025, Vincent intéressé par nos fonds. Présentation Audacia &amp;amp; FCPI 12/03/2026, relance prévue juin pour campagne septembre. Feedback : FCPI possible, RDV à organiser fin juin avec Cédric. Contact Métagram évoqué, café à prévoir à Toulouse. Présentations envoyées, suivi régulier.&lt;/p&gt;</t>
  </si>
  <si>
    <t>Banque (haut de bilan)</t>
  </si>
  <si>
    <t>CAISSE D'EPARGNE BOURGOGNE FRANCHE CONTE</t>
  </si>
  <si>
    <t>Anne Chaineaux</t>
  </si>
  <si>
    <t>&lt;p&gt;RDV physique calé avec Romain Barnay (Directeur Banque Privé) pour approche banquier privé. Dernière action : prise de contact, objectif : présenter fonds XXXX. Pas de retour prospect sur fonds à ce stade. Prochaine étape : tenir le RDV fixé, suivi à prévoir selon échanges.&lt;/p&gt;</t>
  </si>
  <si>
    <t>Nouveau rdv capdev (C4 et Straton) prévu le 28 avril avec la Directrice de l'offre</t>
  </si>
  <si>
    <t>Intérêt à qualifier</t>
  </si>
  <si>
    <t>Banque privée</t>
  </si>
  <si>
    <t>RAMIFY</t>
  </si>
  <si>
    <t>Hugo Alves Ferreira</t>
  </si>
  <si>
    <t>&lt;p&gt;2026.05.26 RDV présentation CJ avec prospect Ramify. Participants : Hugo Alvez Ferreira, Cédric James. Responsable Private Assets intéressé par nos solutions, échanges positifs. Prochaine étape : suivi post-rdv à planifier, attente retour prospect sur solutions présentées.&lt;/p&gt;</t>
  </si>
  <si>
    <t>Rdv  de Présentation avec CJ, Echange - RDV Physique</t>
  </si>
  <si>
    <t>LCL</t>
  </si>
  <si>
    <t>Louis Saumureau</t>
  </si>
  <si>
    <t>&lt;p&gt;RDV physique réalisé, présentation à la nouvelle équipe fonds de fonds non coté, intro auprès de Jehan Batti et Caroline Larousi. Nouvelle piste créée pour équipe Ventes. Prochaine étape : pitch Référencement/Intermédiation pour Romain Andrieu Straton Geodesic FCPI Capital innovation prévu le 28/05/2026.&lt;/p&gt;</t>
  </si>
  <si>
    <t>""Pitch Referencement / Intermédiation"pour Romain Andrieu Straton Geodesic FCPI Captial innovation"</t>
  </si>
  <si>
    <t>FORTUNIS PATRIMOINE</t>
  </si>
  <si>
    <t>Vincent Doucet</t>
  </si>
  <si>
    <t>&lt;p&gt;Prise de contact le 20/04, prospect intéressé par FCPI. Mail de présentation Audacia + Deck FCPI envoyé le 20/04. Pas de retour prospect à date, prochaine étape : attendre feedback suite à l'envoi du deck. Pas d'autres actions prévues pour l'instant. Suivi à poursuivre.&lt;/p&gt;</t>
  </si>
  <si>
    <t>Prise de News</t>
  </si>
  <si>
    <t>Somae</t>
  </si>
  <si>
    <t>Blanc Solal</t>
  </si>
  <si>
    <t>&lt;p&gt;RDV booké 07/05. Visio 11/05 : présentation Audacia, prospect intéressé par Géodésic et deeptech, FCPI à la marge. Prochaines étapes : envoyer Vanguard, présentation FCPI, deck Géodésic, convention distribution vierge, possibilité de pitcher deeptech. Relance envoyée 29/05.&lt;/p&gt;</t>
  </si>
  <si>
    <t>Private Equity Valley</t>
  </si>
  <si>
    <t>Ali Marwan</t>
  </si>
  <si>
    <t>&lt;p&gt;RDV 07/05 avec Éthique et Patrimoine/Equity Valley : présentation offres Private Assets, appétence tickets 100k€, faible intérêt VC pur, focus 150-0 BTE, fiscalité FR non prioritaire. Decks Calderion, Exergon, FCPI envoyés. Prochaine étape&amp;nbsp;: envoyer Straton/Geodesic, vérifier onboarding clients Suisse, relance decks.&lt;/p&gt;</t>
  </si>
  <si>
    <t>Cabinet d'avocats</t>
  </si>
  <si>
    <t>SELASU EMILIE MAZZEI AVOCAT</t>
  </si>
  <si>
    <t>Emilie Mazzei</t>
  </si>
  <si>
    <t>&lt;p&gt;04/05/26: prise de contact par TS, prospect montre de l'intérêt, rendez-vous en cours de programmation. Nouvelle piste créée pour équipe Ventes. Pas d'autres actions ou retours prospect mentionnés. Prochaine étape : fixer le rendez-vous.&lt;/p&gt;</t>
  </si>
  <si>
    <t xml:space="preserve">BAUDINO CONSEIL </t>
  </si>
  <si>
    <t>Jérémy Baudino</t>
  </si>
  <si>
    <t>&lt;p&gt;Intérêt prospect pour FCPI, documentation transmise. Beaucoup de trésorerie d'entreprise, peu de non côté à cause de la durée, société en début d'activité. Pas d'activité complémentaire ni prochaine étape identifiée à ce stade. Suivi à renforcer selon retour sur FCPI.&lt;/p&gt;</t>
  </si>
  <si>
    <t>STIEVENART CAPITAL PARTNERS</t>
  </si>
  <si>
    <t>Alban Stievenart</t>
  </si>
  <si>
    <t>&lt;p&gt;Convention de distribution envoyée le 01/06/2026 + liste des documents à transmettre. Attente retour du prospect avec les documents demandés. Pas d'autres actions ou retours notables dans les échanges récents. Prochaine étape : réception des documents pour finaliser la convention.&lt;/p&gt;</t>
  </si>
  <si>
    <t>Cypraea Patrimoine</t>
  </si>
  <si>
    <t>Debaty Emmanuel</t>
  </si>
  <si>
    <t>&lt;p&gt;Nouvelle piste créée pour équipe Ventes. R1 programmé le 9 juin avec Cédric et Romain. Enrichissement lead tenté, pas de données société trouvées via email. Pas d'autres activités ou retours prospects mentionnés. Prochaine étape : R1 le 9 juin.&lt;/p&gt;</t>
  </si>
  <si>
    <t>RDV le 09/06 pour FCPI</t>
  </si>
  <si>
    <t>JUSTAE GESTION PRIVEE</t>
  </si>
  <si>
    <t>Bastien Baron</t>
  </si>
  <si>
    <t>&lt;p&gt;Aucune activité menée sur le prospect. Un nouvelle piste a été créée pour l'équipe "Ventes". Aucun échange, action ou retour enregistré à ce jour. Pas de prochaines étapes identifiées ni de conclusion ou retour prospect sur les fonds présentés.&lt;/p&gt;</t>
  </si>
  <si>
    <t>Createrra Finance</t>
  </si>
  <si>
    <t>Lortilloir Franck</t>
  </si>
  <si>
    <t>&lt;p&gt;Rdv prévu 19/06 avec Franck Lortilloir, focus contrat assurance vie, fonds interne dédié, contraintes sur compartiment C et capital call, alternative UC via Quintet. Théo Salerno aussi en rdv 19/06. Proposition petit déjeuner quantique. Suivi : contact clients français à Luxembourg, mise en relation pure.&lt;/p&gt;</t>
  </si>
  <si>
    <t>plan de marche et suivi;</t>
  </si>
  <si>
    <t>Nortia/Linavest</t>
  </si>
  <si>
    <t>Nicolas Lemaire</t>
  </si>
  <si>
    <t>&lt;p&gt;2026.05.28 RDV Nortia (Groupe DLPK) : Présentation offre FCPI, exploration distribution via marketplace Nortia. Participants : Nicolas Lemaire (Nortia), Cédric James, Théo Salerno. Nortia : marketplace B2B pour CGP/MFO/SFO, guichet unique. Prochaine étape : échanges à poursuivre, attente retours prospect.&lt;/p&gt;</t>
  </si>
  <si>
    <t>Echange - RDV Physique</t>
  </si>
  <si>
    <t>REDUCTION-IMPOTS.FR</t>
  </si>
  <si>
    <t>Bertrand Brottier</t>
  </si>
  <si>
    <t>&lt;p&gt;Multiples échanges et relances depuis janvier pour commercialiser FCPI JEI. Présentation FCPI Audacia, échanges sur défiscalisation, envoi docs le 20/04. RDV physique prévu puis reporté. Intérêt confirmé pour commercialisation, mais timing serré côté prospect. Prochaine étape : relance à prévoir.&lt;/p&gt;</t>
  </si>
  <si>
    <t>A relancer</t>
  </si>
  <si>
    <t>AURIS GESTION PRIVEE</t>
  </si>
  <si>
    <t>Michel Hollander</t>
  </si>
  <si>
    <t>&lt;p&gt;Appel avec Michel Hollander, Stanislas Guerrin et Alban Ardin à mettre en copie pour organiser RDV avec Gérant FCPI. Nouvelle piste créée pour équipe Ventes. Prochaine étape : fixer dates avec le gérant. Pas d'autres retours ou conclusions prospects mentionnés à ce stade.&lt;/p&gt;</t>
  </si>
  <si>
    <t>ARENAIRE GESTION PRIVEE</t>
  </si>
  <si>
    <t>Louis Souchaud</t>
  </si>
  <si>
    <t>&lt;p&gt;Rencontre au Salon Next Gen Patrimoine, échanges mails/LinkedIn, proposition RDV envoyée 21/04, offre présentée, prospect (Louis) intéressé, remercie, souhaite recontact début juillet. Suivi à prévoir début juillet, pas d'autres actions immédiates. Cabinet basé Paris/Chateauroux.&lt;/p&gt;</t>
  </si>
  <si>
    <t>Relance début juillet à faire</t>
  </si>
  <si>
    <t>David Martinon</t>
  </si>
  <si>
    <t>&lt;p&gt;Piste créée pour équipe Ventes (16/03). Lead identifié CB (23/03). Relance mail envoyée pour échange téléphonique (30/03) par Edouard Gaurier. Aucun retour ou action récente du prospect. Pas d'activité ou d'échange significatif depuis, prochaine étape non planifiée à ce jour.&lt;/p&gt;</t>
  </si>
  <si>
    <t>Banque Richelieu</t>
  </si>
  <si>
    <t>Jean-Marc Ribes</t>
  </si>
  <si>
    <t>&lt;p&gt;Piste créée pour équipe Ventes. Enrichissement lead impossible (email invalide). Déjà pitché par LG lors de ses responsabilités à la Banque du Louvres, à recontacter par LG. Aucune activité ou échange supplémentaire enregistré, prochaine étape&amp;nbsp;: prise de contact par LG.&lt;/p&gt;</t>
  </si>
  <si>
    <t>Lombard</t>
  </si>
  <si>
    <t>Edouard St Pierre</t>
  </si>
  <si>
    <t>&lt;p&gt;Nouvelle piste créée équipe Ventes. Enrichissement lead impossible, email invalide. Contact à prévoir par LG, déjà pitché mais pas à cette personne. Pas de retour prospect ni d'activité supplémentaire. Prochaine étape&amp;nbsp;: prise de contact par LG.&lt;/p&gt;</t>
  </si>
  <si>
    <t>SOCIETE GENERALE private banking</t>
  </si>
  <si>
    <t>Mathieu Vedrenne</t>
  </si>
  <si>
    <t>&lt;p&gt;Nouvelle piste créée équipe Ventes. Tentative d'enrichissement échouée (email invalide). À contacter par LG, déjà pitché mais pas à cette personne. Prochaine étape : prise de contact ciblée par LG. Aucune conclusion prospect ni retour sur fonds présentés à ce stade.&lt;/p&gt;</t>
  </si>
  <si>
    <t>Edmond de Rothschild Asset Management Private Bank Advisory Investment</t>
  </si>
  <si>
    <t>Alain Massiera</t>
  </si>
  <si>
    <t>&lt;p&gt;Nouvelle piste créée équipe Ventes. Tentative d'enrichissement échouée (email invalide). Déjà pitché par LG mais pas à ce niveau, à recontacter. Aucune activité complémentaire ni retour prospect sur fonds. Prochaine étape : prise de contact par LG.&lt;/p&gt;</t>
  </si>
  <si>
    <t>Edmond de Rothschild</t>
  </si>
  <si>
    <t>Renzo Evangelista</t>
  </si>
  <si>
    <t>&lt;p&gt;Contact à prévoir par LG, déjà pitché mais pas à ce niveau. Tentative d’enrichissement lead échouée (email invalide). Nouvelle piste créée pour équipe Ventes. Prochaines étapes&amp;nbsp;: recontacter. Banque Privée EdR&amp;nbsp;: collecte 2Mds€ 2025, marché non coté 20%, clients 10M€ patrimoine, intérêt remploi 150 OB ter.&lt;/p&gt;</t>
  </si>
  <si>
    <t>CA INDOSUEZ Wealth Management</t>
  </si>
  <si>
    <t>Guillaume Rimault</t>
  </si>
  <si>
    <t>&lt;p&gt;Piste créée pour équipe Ventes. Enrichissement impossible (email invalide). Déjà pitché, à recontacter par LG, sont partenaires chez nous. Pas d'autres actions ou retours prospects mentionnés. Prochaine étape : prise de contact par LG.&lt;/p&gt;</t>
  </si>
  <si>
    <t>CYRUS HEREZ</t>
  </si>
  <si>
    <t>Patrick Ganansia</t>
  </si>
  <si>
    <t>&lt;p&gt;Nouvelle piste créée équipe Ventes. Premier contact à prévoir par LG, déjà pitché par Charles. Enrichissement lead impossible, email non valide. Aucun retour prospect ni activité complémentaire enregistrée. Prochaine étape : prise de contact par LG.&lt;/p&gt;</t>
  </si>
  <si>
    <t>ROCKFI</t>
  </si>
  <si>
    <t>Pierre Marin</t>
  </si>
  <si>
    <t>&lt;p&gt;Nouvelle piste créée équipe Ventes. Enrichissement impossible (email invalide). Déjà pitché mais pas à ce niveau, à recontacter par LG. Pas d'autres actions ou retours prospect. Prochaine étape&amp;nbsp;: prise de contact par LG. Aucun retour prospect sur fonds présentés à ce stade.&lt;/p&gt;</t>
  </si>
  <si>
    <t>Assurance/Mutuelle</t>
  </si>
  <si>
    <t>GENERALI</t>
  </si>
  <si>
    <t>Philippe donnet</t>
  </si>
  <si>
    <t>&lt;p&gt;Nouvelle piste créée équipe Ventes. Enrichissement lead impossible (email invalide). Déjà pitché mais pas à ce niveau, à recontacter par LG. Pas d'autres actions ou retours prospect. Prochaine étape : prise de contact par LG. Aucun passage en comité mentionné.&lt;/p&gt;</t>
  </si>
  <si>
    <t>Suravenir</t>
  </si>
  <si>
    <t>François-Régis Bernicot</t>
  </si>
  <si>
    <t>&lt;p&gt;Piste créée pour équipe Ventes, lead de LG, pitché par Thomas Guyot, à recontacter par LG. Tentative d'enrichissement échouée (email invalide). Pas d'activité ou de suivi supplémentaire enregistré, prochaines étapes non précisées.&lt;/p&gt;</t>
  </si>
  <si>
    <t>GENERALI FRANCE</t>
  </si>
  <si>
    <t>Hugues Aubry</t>
  </si>
  <si>
    <t>&lt;p&gt;Nouvelle piste créée équipe Ventes. Enrichissement impossible (email non valide). Prospect déjà pitché, à recontacter par LG. Pas d'autres actions ou retours prospect mentionnés. Prochaines étapes&amp;nbsp;: relance à prévoir par LG. Pas d'indication sur avis prospect ou contexte création piste.&lt;/p&gt;</t>
  </si>
  <si>
    <t>Groupama</t>
  </si>
  <si>
    <t>Sylvain Burel</t>
  </si>
  <si>
    <t>&lt;p&gt;Nouvelle piste créée pour équipe Ventes. Enrichissement lead impossible (email invalide). Prospect déjà pitché, à recontacter par LG. Pas d'autres actions ni retours prospect sur fonds présentés. Prochaine étape&amp;nbsp;: prise de contact par LG. Aucun passage en comité mentionné.&lt;/p&gt;</t>
  </si>
  <si>
    <t>ARKEA</t>
  </si>
  <si>
    <t>Xavier Chapon</t>
  </si>
  <si>
    <t>&lt;p&gt;Contact ARKEA effectué par LG, incluant Julien Carmona. Enrichissement lead impossible (email invalide). Nouvelle piste créée pour équipe Ventes. Dernière activité notable&amp;nbsp;: préparation réunion stratégique (février STRATON&amp;lt;&amp;gt;SLPE EXPANSION). Prochaine étape&amp;nbsp;: organiser réunion, échéance 14/01/2026.&lt;/p&gt;</t>
  </si>
  <si>
    <t>MATMUT</t>
  </si>
  <si>
    <t>Nicolas GOMART</t>
  </si>
  <si>
    <t>&lt;p&gt;Nouvelle piste créée pour équipe Ventes. Prospect déjà pitché, à recontacter par LG. Pas d'autres actions ou retours prospect mentionnés. Prochaine étape : prise de contact par LG. Aucune conclusion prospect ni passage en comité signalés dans les échanges.&lt;/p&gt;</t>
  </si>
  <si>
    <t>VIGIFINANCE</t>
  </si>
  <si>
    <t>Jeremy Archinard</t>
  </si>
  <si>
    <t>&lt;p&gt;04/05/26 : piste créée pour équipe Ventes. RDV physique 27/05/26 avec Jérémy Archinard et Cédric James pour fonds FCPI, prospect gère 30 familles, profil MFO, tickets de plusieurs millions possibles. Doc envoyée, prochaine étape : proposer signature convention de distribution.&lt;/p&gt;</t>
  </si>
  <si>
    <t>PRIVATE EQUITY VALLEY</t>
  </si>
  <si>
    <t>Véronique Yang</t>
  </si>
  <si>
    <t>&lt;p&gt;Rencontre Véronique Yang au Salon Next Gen Patrimoine 16/04. Mail follow-up envoyé, proposition RDV avec Cédric et PC. Relance feedback, RDV planifié avec Marwan Ali. Dernières actions : échanges mails, appels, suivi post-salon. Prochaine étape : RDV collaborateur Marwan Ali.&lt;/p&gt;</t>
  </si>
  <si>
    <t>LINXEA</t>
  </si>
  <si>
    <t>Mélanie Sautereau</t>
  </si>
  <si>
    <t>&lt;p&gt;Déj. 14/10/25 : Linxea restructure offre PE, souhaite accélérer sur cette classe, moins d'intérêt pour défisc sauf remploi 150 OB ter. Apprécie fonds de conviction, intéressé par fonds défense et mobilisations. Présentations envoyées. Relance RDV 2026, invit. événement 26/01. Prochaine étape : fixer RDV.&lt;/p&gt;</t>
  </si>
  <si>
    <t>Probablement mort</t>
  </si>
  <si>
    <t>Guy Cimarelli</t>
  </si>
  <si>
    <t>CIMARELLI GUY</t>
  </si>
  <si>
    <t>&lt;p&gt;Nouvelle piste créée pour équipe Ventes. Prospect souhaite réinvestir dans FCPI 12K, indisponible actuellement. Aucun échange ou activité supplémentaire relevé. Prochaines étapes non définies, attente d'évolution sur disponibilité FCPI 12K. Pas d'autres actions ou retours du prospect.&lt;/p&gt;</t>
  </si>
  <si>
    <t>CHEVAL BLANC PATRIMOINE</t>
  </si>
  <si>
    <t>Nam Delpierre</t>
  </si>
  <si>
    <t>&lt;p&gt;25/02/26 café avec Directeur Cheval Blanc Patrimoine CGP Paris 16, offre globale évoquée, prospect pas intéressé pour l’instant, préfère fonds de dette privés, mauvaise image fonds fiscaux. A choisi Wind Capital en FCPI, ouvert à revoir en 2026. Pas d’action prévue à court terme.&lt;/p&gt;</t>
  </si>
  <si>
    <t>Pas encore prêt - A alimenter</t>
  </si>
  <si>
    <t xml:space="preserve">ARTAZAN PATRIMOINE </t>
  </si>
  <si>
    <t>Arthur Azadan</t>
  </si>
  <si>
    <t>&lt;p&gt;Cold call CGP Paris 25/11, client peu PE, focus dette privée/infra, mais intérêt potentiel pour Capital Innovation. Présentation envoyée 01/12, relance mail 16/12, relance FCPI 04/03 (message laissé). Dernière action : mail à envoyer. Pas de retour prospect sur fonds à ce stade.&lt;/p&gt;</t>
  </si>
  <si>
    <t>Caisse Régionale du Crédit Agricole Brie-Picardie</t>
  </si>
  <si>
    <t>Benjamin GREBET</t>
  </si>
  <si>
    <t>&lt;p&gt;Relance effectuée par Odp le 17 avril. Nouvelle piste créée pour l'équipe Ventes. Aucune activité ou action complémentaire enregistrée depuis la création. Pas de retour ou d'échange supplémentaire identifié. Prochaines étapes non planifiées à ce jour.&lt;/p&gt;</t>
  </si>
  <si>
    <t>NEUFLIZE OBC</t>
  </si>
  <si>
    <t>Melanie Barrato</t>
  </si>
  <si>
    <t>&lt;p&gt;Peu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limité.&lt;/p&gt;</t>
  </si>
  <si>
    <t>Conseil</t>
  </si>
  <si>
    <t>Groupe Forward Finance</t>
  </si>
  <si>
    <t>Alban De Follin</t>
  </si>
  <si>
    <t>&lt;p&gt;Nouvelle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programmée.&lt;/p&gt;</t>
  </si>
  <si>
    <t>à relancer (Alban de Faulin) par CJ.</t>
  </si>
  <si>
    <t>Zakaria Julien</t>
  </si>
  <si>
    <t>Zakarian Julien</t>
  </si>
  <si>
    <t>&lt;p&gt;Prospect lance cabinet, cherche partenaires, doc envoyée, relance prévue mi-juin, basé à Marseille. Pas de données société via email. Nouvelle piste créée pour équipe Ventes. Prochaine étape&amp;nbsp;: recontacter mi-juin. Aucun retour prospect sur fonds pour l’instant.&lt;/p&gt;</t>
  </si>
  <si>
    <t>ODDO BANQUE PRIVÉE</t>
  </si>
  <si>
    <t>Emmanuel d'Orsay</t>
  </si>
  <si>
    <t>&lt;p&gt;Piste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spécifique.&lt;/p&gt;</t>
  </si>
  <si>
    <t>Le Déclic Patrimonial</t>
  </si>
  <si>
    <t>Axel Larmagnac</t>
  </si>
  <si>
    <t>&lt;p&gt;Nouvelle piste créée pour équipe Ventes. Dernier échange : consigne de recontacter début juillet. Pas d'autres actions ni retours prospect enregistrés à ce jour. Prochaine étape : relance début juillet. Aucun retour sur fonds ni avis prospect pour l'instant.&lt;/p&gt;</t>
  </si>
  <si>
    <t>Hedg</t>
  </si>
  <si>
    <t>Edouard Cohen</t>
  </si>
  <si>
    <t>&lt;p&gt;Nouvelle piste créée pour équipe Ventes. RDV programmé, pas d'autres actions ou retours mentionnés. Pas d'activité supplémentaire ni de retour prospect sur fonds présentés. Prochaines étapes non précisées, suivi à prévoir après le RDV.&lt;/p&gt;</t>
  </si>
  <si>
    <t>Montpensier</t>
  </si>
  <si>
    <t>Guillaume Dard</t>
  </si>
  <si>
    <t>&lt;p&gt;Nouvelle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stade.&lt;/p&gt;</t>
  </si>
  <si>
    <t>Holding</t>
  </si>
  <si>
    <t>KAIROS SAS</t>
  </si>
  <si>
    <t>William Pichon</t>
  </si>
  <si>
    <t>&lt;p&gt;Client apporté par François Jacob. Prospect intéressé, RDV en cours de programmation au 05/05/26, relance à prévoir. Confirme investir 400k dans Procession via SAS Kairos. Nouvelle piste créée pour équipe Ventes. Pas d'autres activités ou retours détaillés à ce stade.&lt;/p&gt;</t>
  </si>
  <si>
    <t>VALOR ALPHA</t>
  </si>
  <si>
    <t>Victor Escoffier</t>
  </si>
  <si>
    <t>&lt;p&gt;Nouvelle piste créée pour équipe Ventes. RDV en cours de programmation, aucun retour prospect ni action complémentaire mentionnée à ce stade. Pas d'autres activités, échanges ou conclusions recensés. Prochaines étapes : fixer le RDV, attendre retour du prospect.&lt;/p&gt;</t>
  </si>
  <si>
    <t>CARAT CAPITAL</t>
  </si>
  <si>
    <t>Sandrine Genet</t>
  </si>
  <si>
    <t>&lt;p&gt;Piste créée pour équipe Ventes, email prospect non valide, enrichissement impossible. Déjà pitché, à recontacter par LG. Pas d'autres actions ni retours prospect sur fonds. Prochaine étape : prise de contact par LG. Aucun passage en comité mentionné.&lt;/p&gt;</t>
  </si>
  <si>
    <t>LOUVRE BANQUE PRIVEE</t>
  </si>
  <si>
    <t>Hervé Guiriec</t>
  </si>
  <si>
    <t>&lt;p&gt;Nouvelle piste créée équipe Ventes. Tentative d'enrichissement échouée (email non valide). À contacter par LG, déjà pitché mais pas à cette personne. Pas d'autres actions ou retours prospect. Prochaine étape&amp;nbsp;: prise de contact par LG.&lt;/p&gt;</t>
  </si>
  <si>
    <t>Stamina Partners</t>
  </si>
  <si>
    <t>Béatrice Vivier</t>
  </si>
  <si>
    <t>&lt;p&gt;Prospect lance son cabinet, pas encore d’agrément, souhaite infos sur nos fonds. Nouvelle piste créée pour équipe Ventes. Aucun échange ou activité supplémentaire relevé à ce jour. Prochaine étape : fournir détails sur nos fonds dès que prospect prêt. Pas d’avis prospect sur fonds pour l’instant.&lt;/p&gt;</t>
  </si>
  <si>
    <t>BANQUE TRANSATLANTIQUE</t>
  </si>
  <si>
    <t>Bruno Julien-Lafferrière</t>
  </si>
  <si>
    <t>&lt;p&gt;Piste créée équipe Ventes. Enrichissement lead impossible (email invalide). Prospect déjà pitché, à recontacter par LG. Pas d'autres actions ou retours prospect mentionnés. Prochaine étape : relancer contact par LG. Aucun retour prospect sur fonds présenté à ce stade.&lt;/p&gt;</t>
  </si>
  <si>
    <t>DARE INVEST</t>
  </si>
  <si>
    <t>Darré Romain</t>
  </si>
  <si>
    <t>&lt;p&gt;Aucune activité menée sur le prospect. Nouvelle piste créée pour l'équipe Ventes, pas d'interactions, pas de retours ni d'actions enregistrées à ce jour. Aucun échange ou suivi identifié, aucune prochaine étape planifiée, aucune conclusion prospect disponible.&lt;/p&gt;</t>
  </si>
  <si>
    <t>Benoit Bourdin</t>
  </si>
  <si>
    <t>&lt;p&gt;Déj 07/04/2026 CJ/Bourdin&amp;nbsp;: intérêt club deal tech (IndoSuez), lead FCPI 2027, préparer candidature remplacement mandat Partech. Mail CJ&amp;nbsp;: envoi doc FCPI, brainstorming véhicule commun pour 2027, dispo pour questions. Prochaine étape&amp;nbsp;: actions à suivre par Cedric, deadline 24/04/2026.&lt;/p&gt;</t>
  </si>
  <si>
    <t>rebond sur le déjeuner &lt;&gt; actions à suivre par Cedric</t>
  </si>
  <si>
    <t>WAM SAS</t>
  </si>
  <si>
    <t>Wallaert Julie</t>
  </si>
  <si>
    <t>&lt;p&gt;Nouvelle piste créée pour équipe Ventes, RDV programmé. Pas d'autres actions ou retours du prospect, aucune activité complémentaire enregistrée. Prochaines étapes non précisées, attente de retour suite au RDV. Aucun avis prospect sur fonds présenté à ce stade.&lt;/p&gt;</t>
  </si>
  <si>
    <t>OLIFAN GROUP</t>
  </si>
  <si>
    <t>Nicolas BOUTRY</t>
  </si>
  <si>
    <t>&lt;p&gt;Appel tenté avec Olifan Groupe, pas de réponse, relance prévue. Aucun retour prospect sur fonds présentés. Prochaine action&amp;nbsp;: relance à prévoir avant le 01/07/2026. Pas d'autres échanges ou retours significatifs à ce jour. Suivi à maintenir, attente de feedback prospect.&lt;/p&gt;</t>
  </si>
  <si>
    <t>FINANCE Invest</t>
  </si>
  <si>
    <t>Antoine Cocherie</t>
  </si>
  <si>
    <t>&lt;p&gt;Nouvelle piste créée pour équipe Ventes. Aucun enrichissement possible, email non valide. Aucune activité ou échange significatif enregistré, pas d'action menée ni de retour prospect. Prochaines étapes non définies, aucun suivi ou interaction à ce jour.&lt;/p&gt;</t>
  </si>
  <si>
    <t>Prise de contact à faire</t>
  </si>
  <si>
    <t>EVOLI PATRIMOINE</t>
  </si>
  <si>
    <t>Stéphanie Tan</t>
  </si>
  <si>
    <t>&lt;p&gt;Nouvelle piste créée pour équipe Ventes. Aucun échange significatif depuis, prospect en congé maternité, relance prévue début 2027. Pas d'autres actions ou retours du prospect à ce jour. Suivi à reprendre à la date indiquée, aucune activité commerciale active actuellement.&lt;/p&gt;</t>
  </si>
  <si>
    <t>Sébastien RAPHANAUD</t>
  </si>
  <si>
    <t>&lt;p&gt;Multiples RDV physiques avec Linxea, passage en précomité (plutôt KO, faible collecte PE, pas de nouveaux référencements prévus pour 2026). Changement d'interlocuteur PE (Pierre Guerin remplace Florian Demars). Suivi à maintenir, relance possible auprès de Pierre. Prochaine étape&amp;nbsp;: tenir informé, deadline 01/10/2026.&lt;/p&gt;</t>
  </si>
  <si>
    <t>Tenir informé</t>
  </si>
  <si>
    <t>Theseis</t>
  </si>
  <si>
    <t>Pierre verger</t>
  </si>
  <si>
    <t>&lt;p&gt;Contact initial NextGen, échange positif Romain/Pierre. Présentation offre retail AUDACIA (FCPI, co-investissement start-up tech, newspace, décarbonation, santé/biotech, fiscalité IR 27%). Offre club deal immobilier senior (Lyon, Le Vésinet). Prochaine étape&amp;nbsp;: fixer rdv pour approfondir. Pas d'autres actions.&lt;/p&gt;</t>
  </si>
  <si>
    <t>MILLEIS BANQUE</t>
  </si>
  <si>
    <t>Nicolas Hubert</t>
  </si>
  <si>
    <t>&lt;p&gt;Nouvelle piste créée pour équipe Ventes. Tentative d'enrichissement impossible (email invalide). Déjà pitché (pas cette personne), à recontacter par LG. Pas d'autres actions ou retours prospect. Prochaines étapes : prise de contact à planifier par LG.&lt;/p&gt;</t>
  </si>
  <si>
    <t>Bred Banque Privée</t>
  </si>
  <si>
    <t>Caroline Thiebaud</t>
  </si>
  <si>
    <t>&lt;p&gt;Relance mail envoyée le 13/03 pour prise de RDV présentation Audacia et gérant FCPI. Nouvelle piste créée pour équipe Ventes. Pas d'autres échanges, appels ou retours mentionnés. Prochaine étape : attendre retour pour fixer RDV. Aucun retour prospect sur fonds à ce stade.&lt;/p&gt;</t>
  </si>
  <si>
    <t>MAGNACARTA</t>
  </si>
  <si>
    <t>Corinne Vigouroux</t>
  </si>
  <si>
    <t>&lt;p&gt;Appel 12/03 avec Corinne Vigouroux pour présenter offre FCPi avec Gérant, mail envoyé pour proposer dates en avril, aucune réponse reçue à ce jour. Relance à prévoir, prochaine action fixée au 01/07. Pas de retour prospect sur l'offre, attente feedback. Aucun autre échange significatif noté.&lt;/p&gt;</t>
  </si>
  <si>
    <t>Relance à faire</t>
  </si>
  <si>
    <t>SELEXIUM GROUPE</t>
  </si>
  <si>
    <t>Fabrice Corba</t>
  </si>
  <si>
    <t>&lt;p&gt;Contact LinkedIn avec Directeur Commercial Selexium 28/05, suivi d'un mail avec lien vidéo FCPI envoyé le même jour. Offre FCPI présentée pour clients Selexium, groupe CGP 115 collaborateurs. Pas de retour prospect encore, prochaine étape : attendre feedback sur la vidéo envoyée.&lt;/p&gt;</t>
  </si>
  <si>
    <t>Relance</t>
  </si>
  <si>
    <t>BNP PARIBAS</t>
  </si>
  <si>
    <t>Fabrice Bagne</t>
  </si>
  <si>
    <t>&lt;p&gt;Nouvelle piste créée équipe Ventes. Enrichissement lead impossible (email invalide). Déjà pitché à contacter par LG, mais pas la bonne personne. Aucune activité complémentaire, pas de retour prospect, pas d'action planifiée. Prochaine étape&amp;nbsp;: identifier bon contact et relancer.&lt;/p&gt;</t>
  </si>
  <si>
    <t>BPCE SA</t>
  </si>
  <si>
    <t>Pinot</t>
  </si>
  <si>
    <t>&lt;p&gt;26 mars : réponse BPCE sur référencement 150 0 B ter, action CJ en cours. Suivi par Romain Andrieu. Prochaine étape : pousser référencement 150 0 Bter Capdev et travailler offre Transgénérationnelle. Pas d'autres retours ou conclusions prospect mentionnés.&lt;/p&gt;</t>
  </si>
  <si>
    <t>Particia Pinot indique que nous pourrons entamer le process en Sept pour un referencemnt en 2027</t>
  </si>
  <si>
    <t>UNION FINANCIERE DE FRANCE</t>
  </si>
  <si>
    <t>Guillaume Edery</t>
  </si>
  <si>
    <t>&lt;p&gt;Message laissé sur répondeur pour relance RDV avec Gérant du FCPI en juin, suite au dernier RDV de juin 2025. Pas de retour à ce jour. Prochaine étape : attendre réponse du gérant pour fixer un nouveau rendez-vous. Aucun autre échange ou action récente constaté.&lt;/p&gt;</t>
  </si>
  <si>
    <t>AMBACIA PATRIMOINE</t>
  </si>
  <si>
    <t>Clémence Rytlewski</t>
  </si>
  <si>
    <t>&lt;p&gt;Cold call FCPI 25/02, prospect travaille surtout avec LBO France, peu d'intérêt clients pour FCPI. Présentation envoyée, relance mail 19/03, proposition RDV. Prospect répond mais FCPI pas prioritaire actuellement. Pas d'activité récente ni prochaine étape planifiée.&lt;/p&gt;</t>
  </si>
  <si>
    <t>Relance à prévoir courant juin</t>
  </si>
  <si>
    <t>Boursorama Gestion Privée</t>
  </si>
  <si>
    <t>Jean Bay</t>
  </si>
  <si>
    <t>&lt;p&gt;05/02/2026: Intérêt manifesté pour solutions de diversification, peu de dossiers de remploi, prise de contact à planifier avec Charles. Lead créé pour équipe Ventes. Enrichissement lead impossible (email invalide). Aucune activité ou action future planifiée à ce jour.&lt;/p&gt;</t>
  </si>
  <si>
    <t>Adunea</t>
  </si>
  <si>
    <t>Bruno Delpeut</t>
  </si>
  <si>
    <t>&lt;p&gt;2026.06.01 RDV physique Club d'Affaires (Bruno Delpeut, Audacia). Présentation club, modèle partenariat, projet événement juillet. Club lancé 2024, 150 cabinets membres, ambition croissance. Différenciation : conventions directes sociétés de gestion/CGP. Prochaine étape : organiser événement juillet.&lt;/p&gt;</t>
  </si>
  <si>
    <t>Romain Laroche</t>
  </si>
  <si>
    <t>&lt;p&gt;Aucune activité significative menée sur le prospect depuis la création de la piste le 16/03/2026. Aucun échange, appel ou action de suivi enregistré. Pas de retour ni de conclusion du prospect sur les fonds présentés. Prochaines étapes non planifiées, aucune action à venir identifiée.&lt;/p&gt;</t>
  </si>
  <si>
    <t>ALTAPROFITS</t>
  </si>
  <si>
    <t>Clement BROCHE</t>
  </si>
  <si>
    <t>&lt;p&gt;RDV fixé 20/05, focus FCPI, 2 bn AUM 90% assurance vie, poche défisc FIP 2-3M€, 100% digital, ouverture PE en direct en cours. Relance faite 29/05 par Théo Salerno. Attente retour suite RDV 20/05, prochaine étape selon feedback prospect. Suivi NEXTGEN en cours.&lt;/p&gt;</t>
  </si>
  <si>
    <t>dans la conuitnuiité de NEXTGEN / attendre le retour suite au rdvu du 20 mai.</t>
  </si>
  <si>
    <t>Corporate</t>
  </si>
  <si>
    <t>AUREA WM</t>
  </si>
  <si>
    <t>AUREA WM, Julien Ros</t>
  </si>
  <si>
    <t>&lt;p&gt;Multiples relances mails/appels FCPI de nov. 2025 à avr. 2026. Prospect intéressé par nos stratégies mais préfère renforcer relations existantes, pas de nouveaux partenaires pour l’instant. Dernier échange 20/04/2026&amp;nbsp;: ne souhaite plus être contacté, reviendra si besoin. Pas d’action à venir.&lt;/p&gt;</t>
  </si>
  <si>
    <t>SELENCIA AGEAS</t>
  </si>
  <si>
    <t>Olivier Samain</t>
  </si>
  <si>
    <t>&lt;p&gt;17/03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marché/avis.&lt;/p&gt;</t>
  </si>
  <si>
    <t>caler un café pour revue de marché/avis avec Olivier Samain</t>
  </si>
  <si>
    <t>Mort / Plus rien à faire</t>
  </si>
  <si>
    <t>Nils Rouable</t>
  </si>
  <si>
    <t>&lt;p&gt;Prospect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étape.&lt;/p&gt;</t>
  </si>
  <si>
    <t>REVOLUT</t>
  </si>
  <si>
    <t>Hugo Bodilis</t>
  </si>
  <si>
    <t>&lt;p&gt;Aucune activité ni échange significatif relevé à ce jour sur cette opportunité. Seule information : piste créée pour l'équipe Ventes. Aucun suivi, action ou retour prospect enregistré. Pas de prochaines étapes identifiées ni de conclusion sur les fonds présentés.&lt;/p&gt;</t>
  </si>
  <si>
    <t>Rdv en cours avec Jing Xie / Privaet Market</t>
  </si>
  <si>
    <t>Jérémie Lepissier</t>
  </si>
  <si>
    <t>&lt;p&gt;24/02/2026 : Café avec HNWI, ex-cofondateur Matis SDG, exit 1,5M€. Intérêt possible FCPI 30K€, autres tickets jugés trop élevés. Depuis, KO, prospect se concentre sur achat appartement. Dernière action : prise de news prévue pour 04/01/2027. Pas d'autres actions prévues à ce jour.&lt;/p&gt;</t>
  </si>
  <si>
    <t>Prise de news</t>
  </si>
  <si>
    <t>Société de gestion</t>
  </si>
  <si>
    <t>NATIXIS WEALTH MANAGEMENT</t>
  </si>
  <si>
    <t>Audrey Koenig</t>
  </si>
  <si>
    <t>&lt;p&gt;Piste créée pour équipe Ventes. Tentative d'enrichissement échouée (email invalide). Contact à effectuer par LG, déjà pitché mais pas à cette personne. Dernier retour prospect : pas d'intérêts. Pas d'autres actions ou prochaines étapes identifiées à ce jour.&lt;/p&gt;</t>
  </si>
  <si>
    <t>BANQUE POPULAIRE AUVERGNE RHONE ALPES</t>
  </si>
  <si>
    <t>Virginie Bernard</t>
  </si>
  <si>
    <t>&lt;p&gt;RDV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supplémentaire.&lt;/p&gt;</t>
  </si>
</sst>
</file>

<file path=xl/styles.xml><?xml version="1.0" encoding="utf-8"?>
<styleSheet xmlns="http://schemas.openxmlformats.org/spreadsheetml/2006/main" xmlns:r="http://schemas.openxmlformats.org/officeDocument/2006/relationships">
  <numFmts count="2">
    <numFmt numFmtId="164" formatCode="dd/mm/yyyy"/>
    <numFmt numFmtId="165" formatCode="#,##0.00[$€]"/>
  </numFmts>
  <fonts count="4">
    <font>
      <sz val="10"/>
      <color rgb="000000"/>
      <name val="Arial"/>
    </font>
    <font>
      <sz val="10"/>
      <color rgb="FFFFFF"/>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20">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0" fontId="1" borderId="0"/>
    <xf numFmtId="0" fillId="0" fontId="3" borderId="0"/>
    <xf numFmtId="0" fillId="0" fontId="3" borderId="0" applyAlignment="1">
      <alignment vertical="center" horizontal="center" wrapText="1"/>
    </xf>
    <xf numFmtId="0" fillId="3" fontId="3" borderId="0"/>
    <xf numFmtId="0" fillId="3" fontId="3" borderId="0" applyAlignment="1">
      <alignment vertical="center" horizontal="center" wrapText="1"/>
    </xf>
    <xf numFmtId="0" fillId="4" fontId="1" borderId="0" applyAlignment="1">
      <alignment vertical="center" horizontal="center" wrapText="1"/>
    </xf>
    <xf numFmtId="0" fillId="4" fontId="1" borderId="0"/>
    <xf numFmtId="49" fillId="0" fontId="3" borderId="0" applyAlignment="1">
      <alignment vertical="center" horizontal="center"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xf numFmtId="4" fillId="0" fontId="3" borderId="0" applyAlignment="1">
      <alignment vertical="center" horizontal="center" wrapText="1"/>
    </xf>
    <xf numFmtId="49" fillId="0" fontId="0" borderId="0"/>
    <xf numFmtId="164" fillId="0" fontId="0" borderId="0"/>
    <xf numFmtId="165" fillId="0" fontId="0" borderId="0"/>
    <xf numFmtId="4" fillId="0" fontId="0" borderId="0"/>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202" headerRowCount="1" totalsRowCount="0">
  <autoFilter ref="A3:V2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34.18" customWidth="1" hidden="0"/>
    <col min="2" max="2" width="15.16" customWidth="1" hidden="0"/>
    <col min="3" max="3" width="26.88" customWidth="1" hidden="0"/>
    <col min="4" max="4" width="15.87" customWidth="1" hidden="0"/>
    <col min="5" max="5" width="14.87" customWidth="1" hidden="0"/>
    <col min="6" max="6" width="61.92" customWidth="1" hidden="1"/>
    <col min="7" max="7" width="61.92" customWidth="1" hidden="1"/>
    <col min="8" max="8" width="61.92" customWidth="1" hidden="1"/>
    <col min="9" max="9" width="61.92" customWidth="1" hidden="0"/>
    <col min="10" max="10" width="47.33" customWidth="1" hidden="1"/>
    <col min="11" max="11" width="22.88" customWidth="1" hidden="1"/>
    <col min="12" max="12" width="11.15" customWidth="1" hidden="0"/>
    <col min="13" max="13" width="22.88" customWidth="1" hidden="1"/>
    <col min="14" max="14" width="13.16" customWidth="1" hidden="0"/>
    <col min="15" max="15" width="25.17" customWidth="1" hidden="1"/>
    <col min="16" max="16" width="15.59" customWidth="1" hidden="0"/>
    <col min="17" max="17" width="15.01" customWidth="1" hidden="1"/>
    <col min="18" max="18" width="15.01" customWidth="1" hidden="0"/>
    <col min="19" max="19" width="33.18" customWidth="1" hidden="1"/>
    <col min="20" max="20" width="11.3" customWidth="1" hidden="0"/>
    <col min="21" max="21" width="11.3"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 min="37" max="37" width="13.73" customWidth="1" hidden="0"/>
  </cols>
  <sheetData>
    <row r="1" ht="35.2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4">
</c>
      <c r="Y1" s="4">
</c>
      <c r="Z1" s="4">
</c>
      <c r="AA1" s="4">
</c>
      <c r="AB1" s="4">
</c>
      <c r="AC1" s="4">
</c>
      <c r="AD1" s="4">
</c>
      <c r="AE1" s="4">
</c>
      <c r="AF1" s="4">
</c>
      <c r="AG1" s="4">
</c>
      <c r="AH1" s="4">
</c>
      <c r="AI1" s="4">
</c>
      <c r="AJ1" s="4">
</c>
      <c r="AK1" s="4">
</c>
    </row>
    <row r="2" ht="35.25" customHeight="1">
      <c r="A2" s="5">
</c>
      <c r="B2" s="6">
</c>
      <c r="C2" s="6" cm="1" t="n">
        <f t="array" ref="C2">SUBTOTAL(9,V4:V102)</f>
        <v>91</v>
      </c>
      <c r="D2" s="5">
</c>
      <c r="E2" s="5">
</c>
      <c r="F2" s="5">
</c>
      <c r="G2" s="7">
</c>
      <c r="H2" s="5">
</c>
      <c r="I2" s="5">
</c>
      <c r="J2" s="5">
</c>
      <c r="K2" s="5">
</c>
      <c r="L2" s="5">
</c>
      <c r="M2" s="5">
</c>
      <c r="N2" s="5">
</c>
      <c r="O2" s="5">
</c>
      <c r="P2" s="5">
</c>
      <c r="Q2" s="8" cm="1" t="n">
        <f t="array" ref="Q2">SUBTOTAL(9,Q4:Q302)</f>
        <v>217000</v>
      </c>
      <c r="R2" s="8" cm="1" t="str">
        <f t="array" ref="R2">ROUND(Q2/1000000,3)&amp;" M€"</f>
        <v>0.217 M€</v>
      </c>
      <c r="S2" s="5">
</c>
      <c r="T2" s="5">
</c>
      <c r="U2" s="5">
</c>
      <c r="V2" s="5">
</c>
      <c r="W2" s="5">
</c>
      <c r="X2" s="5">
</c>
      <c r="Y2" s="5">
</c>
      <c r="Z2" s="5">
</c>
      <c r="AA2" s="5">
</c>
      <c r="AB2" s="5">
</c>
      <c r="AC2" s="5">
</c>
      <c r="AD2" s="5">
</c>
      <c r="AE2" s="5">
</c>
      <c r="AF2" s="5">
</c>
      <c r="AG2" s="5">
</c>
      <c r="AH2" s="5">
</c>
      <c r="AI2" s="5">
</c>
      <c r="AJ2" s="5">
</c>
      <c r="AK2" s="5">
</c>
    </row>
    <row r="3" ht="35.25" customHeight="1">
      <c r="A3" s="2" t="s">
        <v>1</v>
      </c>
      <c r="B3" s="2" t="s">
        <v>2</v>
      </c>
      <c r="C3" s="2" t="s">
        <v>3</v>
      </c>
      <c r="D3" s="2" t="s">
        <v>4</v>
      </c>
      <c r="E3" s="2" t="s">
        <v>5</v>
      </c>
      <c r="F3" s="9" t="s">
        <v>6</v>
      </c>
      <c r="G3" s="9" t="s">
        <v>7</v>
      </c>
      <c r="H3" s="9" t="s">
        <v>8</v>
      </c>
      <c r="I3" s="2" t="s">
        <v>9</v>
      </c>
      <c r="J3" s="9" t="s">
        <v>10</v>
      </c>
      <c r="K3" s="9" t="s">
        <v>11</v>
      </c>
      <c r="L3" s="2" t="s">
        <v>12</v>
      </c>
      <c r="M3" s="9" t="s">
        <v>13</v>
      </c>
      <c r="N3" s="2" t="s">
        <v>14</v>
      </c>
      <c r="O3" s="9" t="s">
        <v>15</v>
      </c>
      <c r="P3" s="2" t="s">
        <v>16</v>
      </c>
      <c r="Q3" s="9" t="s">
        <v>17</v>
      </c>
      <c r="R3" s="2" t="s">
        <v>18</v>
      </c>
      <c r="S3" s="9" t="s">
        <v>19</v>
      </c>
      <c r="T3" s="2" t="s">
        <v>20</v>
      </c>
      <c r="U3" s="2" t="s">
        <v>21</v>
      </c>
      <c r="V3" s="10" t="s">
        <v>22</v>
      </c>
      <c r="W3" s="4">
</c>
      <c r="X3" s="4">
</c>
      <c r="Y3" s="4">
</c>
      <c r="Z3" s="4">
</c>
      <c r="AA3" s="4">
</c>
      <c r="AB3" s="4">
</c>
      <c r="AC3" s="4">
</c>
      <c r="AD3" s="4">
</c>
      <c r="AE3" s="4">
</c>
      <c r="AF3" s="4">
</c>
      <c r="AG3" s="4">
</c>
      <c r="AH3" s="4">
</c>
      <c r="AI3" s="4">
</c>
      <c r="AJ3" s="4">
</c>
      <c r="AK3" s="4">
</c>
    </row>
    <row r="4" ht="65.25" customHeight="1">
      <c r="A4" s="6" t="s">
        <v>23</v>
      </c>
      <c r="B4" s="6" t="s">
        <v>24</v>
      </c>
      <c r="C4" s="11" t="s">
        <v>25</v>
      </c>
      <c r="D4" s="11" t="s">
        <v>26</v>
      </c>
      <c r="E4" s="6" t="s">
        <v>27</v>
      </c>
      <c r="F4" s="6" t="s">
        <v>28</v>
      </c>
      <c r="G4" s="6" cm="1" t="str">
        <f t="array" ref="G4">IF(F4="","",SUBSTITUTE(SUBSTITUTE(SUBSTITUTE(SUBSTITUTE(F4,"&lt;li&gt;",CHAR(10)),"&lt;/li&gt;",""),"&lt;br&gt;",CHAR(10)),"&lt;strong&gt;",""))</f>
        <v>&lt;p&gt;RDV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campagne.&lt;/p&gt;</v>
      </c>
      <c r="H4" s="6" cm="1" t="str">
        <f t="array" ref="H4">IF(G4="","",SUBSTITUTE(SUBSTITUTE(SUBSTITUTE(SUBSTITUTE(SUBSTITUTE(G4,"&lt;p&gt;",""),"&lt;/p&gt;",""),"&lt;ul&gt;",""),"&lt;/ul&gt;",""),"&lt;/strong&gt;",""))</f>
        <v>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v>
      </c>
      <c r="I4" s="12" cm="1" t="str">
        <f t="array" ref="I4">IF(C4="","",IF(OR(H4="",H4=0,H4=FALSE),"-",H4))</f>
        <v>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v>
      </c>
      <c r="J4" s="6">
</c>
      <c r="K4" s="6" t="s">
        <v>29</v>
      </c>
      <c r="L4" s="6" cm="1" t="str">
        <f t="array" ref="L4">IF(C4="","",IF(K4="Mort / Plus rien à faire","KO","OK"))</f>
        <v>OK</v>
      </c>
      <c r="M4" s="13">
        <v>46140.73559027778</v>
      </c>
      <c r="N4" s="13" cm="1" t="n">
        <f t="array" ref="N4">IF(OR(C4="",M4="",M4=0),"",M4)</f>
        <v>46140.73559027778</v>
      </c>
      <c r="O4" s="13">
</c>
      <c r="P4" s="13" cm="1" t="str">
        <f t="array" ref="P4">IF(C4="","",IF(OR(O4="",O4=0),"-",O4))</f>
        <v>-</v>
      </c>
      <c r="Q4" s="14">
        <v>0</v>
      </c>
      <c r="R4" s="6" cm="1" t="str">
        <f t="array" ref="R4">IF(C4="","",ROUND(Q4/1000000,3)&amp;" M€")</f>
        <v>0 M€</v>
      </c>
      <c r="S4" s="15">
        <v>100</v>
      </c>
      <c r="T4" s="6" cm="1" t="str">
        <f t="array" ref="T4">IF(C4="","",SUBSTITUTE(S4,"","")&amp;"%")</f>
        <v>100%</v>
      </c>
      <c r="U4" s="12" cm="1" t="str">
        <f t="array" ref="U4">IF(($N4="")*($P4=""),"",IF(($N4&lt;&gt;"")*($N4&gt;TODAY()-9)*($N4&lt;TODAY()+1)*($P4&lt;&gt;"")*($P4&gt;=TODAY())*($P4&lt;=TODAY()+13),"Semaine passée &amp; à venir",IF(($N4&lt;&gt;"")*($N4&gt;TODAY()-9)*($N4&lt;TODAY()+1),"Semaine passée",IF(($P4&lt;&gt;"")*($P4&gt;=TODAY())*($P4&lt;=TODAY()+13),"À venir","Autre"))))</f>
        <v>Autre</v>
      </c>
      <c r="V4" s="5" cm="1" t="n">
        <f t="array" ref="V4">IF(C4&lt;&gt;"",1,0)</f>
        <v>1</v>
      </c>
      <c r="W4" s="5">
</c>
      <c r="X4" s="5">
</c>
      <c r="Y4" s="5">
</c>
      <c r="Z4" s="5">
</c>
      <c r="AA4" s="5">
</c>
      <c r="AB4" s="5">
</c>
      <c r="AC4" s="5">
</c>
      <c r="AD4" s="5">
</c>
      <c r="AE4" s="5">
</c>
      <c r="AF4" s="5">
</c>
      <c r="AG4" s="5">
</c>
      <c r="AH4" s="5">
</c>
      <c r="AI4" s="5">
</c>
      <c r="AJ4" s="5">
</c>
      <c r="AK4" s="5">
</c>
    </row>
    <row r="5" ht="65.25" customHeight="1">
      <c r="A5" s="6" t="s">
        <v>23</v>
      </c>
      <c r="B5" s="6" t="s">
        <v>24</v>
      </c>
      <c r="C5" s="11" t="s">
        <v>30</v>
      </c>
      <c r="D5" s="11" t="s">
        <v>31</v>
      </c>
      <c r="E5" s="6" t="s">
        <v>27</v>
      </c>
      <c r="F5" s="6" t="s">
        <v>32</v>
      </c>
      <c r="G5" s="6" cm="1" t="str">
        <f t="array" ref="G5">IF(F5="","",SUBSTITUTE(SUBSTITUTE(SUBSTITUTE(SUBSTITUTE(F5,"&lt;li&gt;",CHAR(10)),"&lt;/li&gt;",""),"&lt;br&gt;",CHAR(10)),"&lt;strong&gt;",""))</f>
        <v>&lt;p&gt;Appels 03/03 et 21/04 avec Valentin Giraud&amp;nbsp;: rappel sur FCPI, confirmation absence d'accès client, volonté de garder la relation directe. Accord pour envoi courrier clients sur case fiscale manquante. FCPI ouvert jusqu'à fin 2026, dossiers attendus juin/décembre. Pas d'immobilisation cash hors fiscalité.&lt;/p&gt;</v>
      </c>
      <c r="H5" s="6" cm="1" t="str">
        <f t="array" ref="H5">IF(G5="","",SUBSTITUTE(SUBSTITUTE(SUBSTITUTE(SUBSTITUTE(SUBSTITUTE(G5,"&lt;p&gt;",""),"&lt;/p&gt;",""),"&lt;ul&gt;",""),"&lt;/ul&gt;",""),"&lt;/strong&gt;",""))</f>
        <v>Appels 03/03 et 21/04 avec Valentin Giraud&amp;nbsp;: rappel sur FCPI, confirmation absence d'accès client, volonté de garder la relation directe. Accord pour envoi courrier clients sur case fiscale manquante. FCPI ouvert jusqu'à fin 2026, dossiers attendus juin/décembre. Pas d'immobilisation cash hors fiscalité.</v>
      </c>
      <c r="I5" s="12" cm="1" t="str">
        <f t="array" ref="I5">IF(C5="","",IF(OR(H5="",H5=0,H5=FALSE),"-",H5))</f>
        <v>Appels 03/03 et 21/04 avec Valentin Giraud&amp;nbsp;: rappel sur FCPI, confirmation absence d'accès client, volonté de garder la relation directe. Accord pour envoi courrier clients sur case fiscale manquante. FCPI ouvert jusqu'à fin 2026, dossiers attendus juin/décembre. Pas d'immobilisation cash hors fiscalité.</v>
      </c>
      <c r="J5" s="6">
</c>
      <c r="K5" s="6" t="s">
        <v>29</v>
      </c>
      <c r="L5" s="6" cm="1" t="str">
        <f t="array" ref="L5">IF(C5="","",IF(K5="Mort / Plus rien à faire","KO","OK"))</f>
        <v>OK</v>
      </c>
      <c r="M5" s="13">
        <v>46133.704039351855</v>
      </c>
      <c r="N5" s="13" cm="1" t="n">
        <f t="array" ref="N5">IF(OR(C5="",M5="",M5=0),"",M5)</f>
        <v>46133.704039351855</v>
      </c>
      <c r="O5" s="13">
</c>
      <c r="P5" s="13" cm="1" t="str">
        <f t="array" ref="P5">IF(C5="","",IF(OR(O5="",O5=0),"-",O5))</f>
        <v>-</v>
      </c>
      <c r="Q5" s="14">
        <v>0</v>
      </c>
      <c r="R5" s="6" cm="1" t="str">
        <f t="array" ref="R5">IF(C5="","",ROUND(Q5/1000000,3)&amp;" M€")</f>
        <v>0 M€</v>
      </c>
      <c r="S5" s="15">
        <v>100</v>
      </c>
      <c r="T5" s="6" cm="1" t="str">
        <f t="array" ref="T5">IF(C5="","",SUBSTITUTE(S5,"","")&amp;"%")</f>
        <v>100%</v>
      </c>
      <c r="U5" s="12" cm="1" t="str">
        <f t="array" ref="U5">IF(($N5="")*($P5=""),"",IF(($N5&lt;&gt;"")*($N5&gt;TODAY()-9)*($N5&lt;TODAY()+1)*($P5&lt;&gt;"")*($P5&gt;=TODAY())*($P5&lt;=TODAY()+13),"Semaine passée &amp; à venir",IF(($N5&lt;&gt;"")*($N5&gt;TODAY()-9)*($N5&lt;TODAY()+1),"Semaine passée",IF(($P5&lt;&gt;"")*($P5&gt;=TODAY())*($P5&lt;=TODAY()+13),"À venir","Autre"))))</f>
        <v>Autre</v>
      </c>
      <c r="V5" s="5" cm="1" t="n">
        <f t="array" ref="V5">IF(C5&lt;&gt;"",1,0)</f>
        <v>1</v>
      </c>
      <c r="W5" s="5">
</c>
      <c r="X5" s="5">
</c>
      <c r="Y5" s="5">
</c>
      <c r="Z5" s="12">
</c>
      <c r="AA5" s="5">
</c>
      <c r="AB5" s="5">
</c>
      <c r="AC5" s="5">
</c>
      <c r="AD5" s="5">
</c>
      <c r="AE5" s="5">
</c>
      <c r="AF5" s="5">
</c>
      <c r="AG5" s="5">
</c>
      <c r="AH5" s="5">
</c>
      <c r="AI5" s="5">
</c>
      <c r="AJ5" s="5">
</c>
      <c r="AK5" s="5">
</c>
    </row>
    <row r="6" ht="65.25" customHeight="1">
      <c r="A6" s="6" t="s">
        <v>23</v>
      </c>
      <c r="B6" s="6" t="s">
        <v>24</v>
      </c>
      <c r="C6" s="11" t="s">
        <v>33</v>
      </c>
      <c r="D6" s="11" t="s">
        <v>34</v>
      </c>
      <c r="E6" s="6" t="s">
        <v>27</v>
      </c>
      <c r="F6" s="6" t="s">
        <v>35</v>
      </c>
      <c r="G6" s="6" cm="1" t="str">
        <f t="array" ref="G6">IF(F6="","",SUBSTITUTE(SUBSTITUTE(SUBSTITUTE(SUBSTITUTE(F6,"&lt;li&gt;",CHAR(10)),"&lt;/li&gt;",""),"&lt;br&gt;",CHAR(10)),"&lt;strong&gt;",""))</f>
        <v>&lt;p&gt;Convention signée 26/05, docs KYD reçus. Plusieurs échanges (appels, mails, visio) sur offres Audacia, FCPI, immo, deeptech. Intérêt prospect pour immo, méfiance santé, souhaite consulter confrères. Prochaine étape : appel pour estimer souscriptions, organiser RDV équipe immo/FCPI.&lt;/p&gt;</v>
      </c>
      <c r="H6" s="6" cm="1" t="str">
        <f t="array" ref="H6">IF(G6="","",SUBSTITUTE(SUBSTITUTE(SUBSTITUTE(SUBSTITUTE(SUBSTITUTE(G6,"&lt;p&gt;",""),"&lt;/p&gt;",""),"&lt;ul&gt;",""),"&lt;/ul&gt;",""),"&lt;/strong&gt;",""))</f>
        <v>Convention signée 26/05, docs KYD reçus. Plusieurs échanges (appels, mails, visio) sur offres Audacia, FCPI, immo, deeptech. Intérêt prospect pour immo, méfiance santé, souhaite consulter confrères. Prochaine étape : appel pour estimer souscriptions, organiser RDV équipe immo/FCPI.</v>
      </c>
      <c r="I6" s="12" cm="1" t="str">
        <f t="array" ref="I6">IF(C6="","",IF(OR(H6="",H6=0,H6=FALSE),"-",H6))</f>
        <v>Convention signée 26/05, docs KYD reçus. Plusieurs échanges (appels, mails, visio) sur offres Audacia, FCPI, immo, deeptech. Intérêt prospect pour immo, méfiance santé, souhaite consulter confrères. Prochaine étape : appel pour estimer souscriptions, organiser RDV équipe immo/FCPI.</v>
      </c>
      <c r="J6" s="6">
</c>
      <c r="K6" s="6" t="s">
        <v>29</v>
      </c>
      <c r="L6" s="6" cm="1" t="str">
        <f t="array" ref="L6">IF(C6="","",IF(K6="Mort / Plus rien à faire","KO","OK"))</f>
        <v>OK</v>
      </c>
      <c r="M6" s="13">
        <v>46170.62515046296</v>
      </c>
      <c r="N6" s="13" cm="1" t="n">
        <f t="array" ref="N6">IF(OR(C6="",M6="",M6=0),"",M6)</f>
        <v>46170.62515046296</v>
      </c>
      <c r="O6" s="13">
</c>
      <c r="P6" s="13" cm="1" t="str">
        <f t="array" ref="P6">IF(C6="","",IF(OR(O6="",O6=0),"-",O6))</f>
        <v>-</v>
      </c>
      <c r="Q6" s="14">
        <v>0</v>
      </c>
      <c r="R6" s="6" cm="1" t="str">
        <f t="array" ref="R6">IF(C6="","",ROUND(Q6/1000000,3)&amp;" M€")</f>
        <v>0 M€</v>
      </c>
      <c r="S6" s="15">
        <v>100</v>
      </c>
      <c r="T6" s="6" cm="1" t="str">
        <f t="array" ref="T6">IF(C6="","",SUBSTITUTE(S6,"","")&amp;"%")</f>
        <v>100%</v>
      </c>
      <c r="U6" s="12" cm="1" t="str">
        <f t="array" ref="U6">IF(($N6="")*($P6=""),"",IF(($N6&lt;&gt;"")*($N6&gt;TODAY()-9)*($N6&lt;TODAY()+1)*($P6&lt;&gt;"")*($P6&gt;=TODAY())*($P6&lt;=TODAY()+13),"Semaine passée &amp; à venir",IF(($N6&lt;&gt;"")*($N6&gt;TODAY()-9)*($N6&lt;TODAY()+1),"Semaine passée",IF(($P6&lt;&gt;"")*($P6&gt;=TODAY())*($P6&lt;=TODAY()+13),"À venir","Autre"))))</f>
        <v>Semaine passée</v>
      </c>
      <c r="V6" s="5" cm="1" t="n">
        <f t="array" ref="V6">IF(C6&lt;&gt;"",1,0)</f>
        <v>1</v>
      </c>
      <c r="W6" s="5">
</c>
      <c r="X6" s="5">
</c>
      <c r="Y6" s="5">
</c>
      <c r="Z6" s="5">
</c>
      <c r="AA6" s="5">
</c>
      <c r="AB6" s="5">
</c>
      <c r="AC6" s="5">
</c>
      <c r="AD6" s="5">
</c>
      <c r="AE6" s="5">
</c>
      <c r="AF6" s="5">
</c>
      <c r="AG6" s="5">
</c>
      <c r="AH6" s="5">
</c>
      <c r="AI6" s="5">
</c>
      <c r="AJ6" s="5">
</c>
      <c r="AK6" s="5">
</c>
    </row>
    <row r="7" ht="65.25" customHeight="1">
      <c r="A7" s="6" t="s">
        <v>23</v>
      </c>
      <c r="B7" s="6" t="s">
        <v>24</v>
      </c>
      <c r="C7" s="11" t="s">
        <v>36</v>
      </c>
      <c r="D7" s="11" t="s">
        <v>37</v>
      </c>
      <c r="E7" s="6" t="s">
        <v>38</v>
      </c>
      <c r="F7" s="6" t="s">
        <v>39</v>
      </c>
      <c r="G7" s="6" cm="1" t="str">
        <f t="array" ref="G7">IF(F7="","",SUBSTITUTE(SUBSTITUTE(SUBSTITUTE(SUBSTITUTE(F7,"&lt;li&gt;",CHAR(10)),"&lt;/li&gt;",""),"&lt;br&gt;",CHAR(10)),"&lt;strong&gt;",""))</f>
        <v>&lt;p&gt;Partenaire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jour.&lt;/p&gt;</v>
      </c>
      <c r="H7" s="6" cm="1" t="str">
        <f t="array" ref="H7">IF(G7="","",SUBSTITUTE(SUBSTITUTE(SUBSTITUTE(SUBSTITUTE(SUBSTITUTE(G7,"&lt;p&gt;",""),"&lt;/p&gt;",""),"&lt;ul&gt;",""),"&lt;/ul&gt;",""),"&lt;/strong&gt;",""))</f>
        <v>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v>
      </c>
      <c r="I7" s="12" cm="1" t="str">
        <f t="array" ref="I7">IF(C7="","",IF(OR(H7="",H7=0,H7=FALSE),"-",H7))</f>
        <v>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v>
      </c>
      <c r="J7" s="6">
</c>
      <c r="K7" s="6" t="s">
        <v>29</v>
      </c>
      <c r="L7" s="6" cm="1" t="str">
        <f t="array" ref="L7">IF(C7="","",IF(K7="Mort / Plus rien à faire","KO","OK"))</f>
        <v>OK</v>
      </c>
      <c r="M7" s="13">
        <v>46132.60855324074</v>
      </c>
      <c r="N7" s="13" cm="1" t="n">
        <f t="array" ref="N7">IF(OR(C7="",M7="",M7=0),"",M7)</f>
        <v>46132.60855324074</v>
      </c>
      <c r="O7" s="13">
</c>
      <c r="P7" s="13" cm="1" t="str">
        <f t="array" ref="P7">IF(C7="","",IF(OR(O7="",O7=0),"-",O7))</f>
        <v>-</v>
      </c>
      <c r="Q7" s="14">
        <v>0</v>
      </c>
      <c r="R7" s="6" cm="1" t="str">
        <f t="array" ref="R7">IF(C7="","",ROUND(Q7/1000000,3)&amp;" M€")</f>
        <v>0 M€</v>
      </c>
      <c r="S7" s="15">
        <v>100</v>
      </c>
      <c r="T7" s="6" cm="1" t="str">
        <f t="array" ref="T7">IF(C7="","",SUBSTITUTE(S7,"","")&amp;"%")</f>
        <v>100%</v>
      </c>
      <c r="U7" s="12" cm="1" t="str">
        <f t="array" ref="U7">IF(($N7="")*($P7=""),"",IF(($N7&lt;&gt;"")*($N7&gt;TODAY()-9)*($N7&lt;TODAY()+1)*($P7&lt;&gt;"")*($P7&gt;=TODAY())*($P7&lt;=TODAY()+13),"Semaine passée &amp; à venir",IF(($N7&lt;&gt;"")*($N7&gt;TODAY()-9)*($N7&lt;TODAY()+1),"Semaine passée",IF(($P7&lt;&gt;"")*($P7&gt;=TODAY())*($P7&lt;=TODAY()+13),"À venir","Autre"))))</f>
        <v>Autre</v>
      </c>
      <c r="V7" s="5" cm="1" t="n">
        <f t="array" ref="V7">IF(C7&lt;&gt;"",1,0)</f>
        <v>1</v>
      </c>
      <c r="W7" s="5">
</c>
      <c r="X7" s="5">
</c>
      <c r="Y7" s="5">
</c>
      <c r="Z7" s="5">
</c>
      <c r="AA7" s="5">
</c>
      <c r="AB7" s="5">
</c>
      <c r="AC7" s="5">
</c>
      <c r="AD7" s="5">
</c>
      <c r="AE7" s="5">
</c>
      <c r="AF7" s="5">
</c>
      <c r="AG7" s="5">
</c>
      <c r="AH7" s="5">
</c>
      <c r="AI7" s="5">
</c>
      <c r="AJ7" s="5">
</c>
      <c r="AK7" s="5">
</c>
    </row>
    <row r="8" ht="65.25" customHeight="1">
      <c r="A8" s="6" t="s">
        <v>23</v>
      </c>
      <c r="B8" s="6" t="s">
        <v>24</v>
      </c>
      <c r="C8" s="11" t="s">
        <v>40</v>
      </c>
      <c r="D8" s="11" t="s">
        <v>41</v>
      </c>
      <c r="E8" s="6" t="s">
        <v>27</v>
      </c>
      <c r="F8" s="6" t="s">
        <v>42</v>
      </c>
      <c r="G8" s="6" cm="1" t="str">
        <f t="array" ref="G8">IF(F8="","",SUBSTITUTE(SUBSTITUTE(SUBSTITUTE(SUBSTITUTE(F8,"&lt;li&gt;",CHAR(10)),"&lt;/li&gt;",""),"&lt;br&gt;",CHAR(10)),"&lt;strong&gt;",""))</f>
        <v>&lt;p&gt;Appels réguliers avec Benoit Richard sur FCPI : infos fiscales, envoi attestation, vérification signature convention (signée), envoi deck. Dernier message 28/05 : relance pour montant estimatif des souscriptions à venir. Prochaine étape : attendre retour sur ce montant.&lt;/p&gt;</v>
      </c>
      <c r="H8" s="6" cm="1" t="str">
        <f t="array" ref="H8">IF(G8="","",SUBSTITUTE(SUBSTITUTE(SUBSTITUTE(SUBSTITUTE(SUBSTITUTE(G8,"&lt;p&gt;",""),"&lt;/p&gt;",""),"&lt;ul&gt;",""),"&lt;/ul&gt;",""),"&lt;/strong&gt;",""))</f>
        <v>Appels réguliers avec Benoit Richard sur FCPI : infos fiscales, envoi attestation, vérification signature convention (signée), envoi deck. Dernier message 28/05 : relance pour montant estimatif des souscriptions à venir. Prochaine étape : attendre retour sur ce montant.</v>
      </c>
      <c r="I8" s="12" cm="1" t="str">
        <f t="array" ref="I8">IF(C8="","",IF(OR(H8="",H8=0,H8=FALSE),"-",H8))</f>
        <v>Appels réguliers avec Benoit Richard sur FCPI : infos fiscales, envoi attestation, vérification signature convention (signée), envoi deck. Dernier message 28/05 : relance pour montant estimatif des souscriptions à venir. Prochaine étape : attendre retour sur ce montant.</v>
      </c>
      <c r="J8" s="6">
</c>
      <c r="K8" s="6" t="s">
        <v>29</v>
      </c>
      <c r="L8" s="6" cm="1" t="str">
        <f t="array" ref="L8">IF(C8="","",IF(K8="Mort / Plus rien à faire","KO","OK"))</f>
        <v>OK</v>
      </c>
      <c r="M8" s="13">
        <v>46170.620462962965</v>
      </c>
      <c r="N8" s="13" cm="1" t="n">
        <f t="array" ref="N8">IF(OR(C8="",M8="",M8=0),"",M8)</f>
        <v>46170.620462962965</v>
      </c>
      <c r="O8" s="13">
</c>
      <c r="P8" s="13" cm="1" t="str">
        <f t="array" ref="P8">IF(C8="","",IF(OR(O8="",O8=0),"-",O8))</f>
        <v>-</v>
      </c>
      <c r="Q8" s="14">
        <v>0</v>
      </c>
      <c r="R8" s="6" cm="1" t="str">
        <f t="array" ref="R8">IF(C8="","",ROUND(Q8/1000000,3)&amp;" M€")</f>
        <v>0 M€</v>
      </c>
      <c r="S8" s="15">
        <v>100</v>
      </c>
      <c r="T8" s="6" cm="1" t="str">
        <f t="array" ref="T8">IF(C8="","",SUBSTITUTE(S8,"","")&amp;"%")</f>
        <v>100%</v>
      </c>
      <c r="U8" s="12" cm="1" t="str">
        <f t="array" ref="U8">IF(($N8="")*($P8=""),"",IF(($N8&lt;&gt;"")*($N8&gt;TODAY()-9)*($N8&lt;TODAY()+1)*($P8&lt;&gt;"")*($P8&gt;=TODAY())*($P8&lt;=TODAY()+13),"Semaine passée &amp; à venir",IF(($N8&lt;&gt;"")*($N8&gt;TODAY()-9)*($N8&lt;TODAY()+1),"Semaine passée",IF(($P8&lt;&gt;"")*($P8&gt;=TODAY())*($P8&lt;=TODAY()+13),"À venir","Autre"))))</f>
        <v>Semaine passée</v>
      </c>
      <c r="V8" s="5" cm="1" t="n">
        <f t="array" ref="V8">IF(C8&lt;&gt;"",1,0)</f>
        <v>1</v>
      </c>
      <c r="W8" s="5">
</c>
      <c r="X8" s="5">
</c>
      <c r="Y8" s="5">
</c>
      <c r="Z8" s="5">
</c>
      <c r="AA8" s="5">
</c>
      <c r="AB8" s="5">
</c>
      <c r="AC8" s="5">
</c>
      <c r="AD8" s="5">
</c>
      <c r="AE8" s="5">
</c>
      <c r="AF8" s="5">
</c>
      <c r="AG8" s="5">
</c>
      <c r="AH8" s="5">
</c>
      <c r="AI8" s="5">
</c>
      <c r="AJ8" s="5">
</c>
      <c r="AK8" s="5">
</c>
    </row>
    <row r="9" ht="65.25" customHeight="1">
      <c r="A9" s="6" t="s">
        <v>23</v>
      </c>
      <c r="B9" s="6" t="s">
        <v>43</v>
      </c>
      <c r="C9" s="11" t="s">
        <v>44</v>
      </c>
      <c r="D9" s="11" t="s">
        <v>44</v>
      </c>
      <c r="E9" s="6" t="s">
        <v>38</v>
      </c>
      <c r="F9" s="6" t="s">
        <v>45</v>
      </c>
      <c r="G9" s="6" cm="1" t="str">
        <f t="array" ref="G9">IF(F9="","",SUBSTITUTE(SUBSTITUTE(SUBSTITUTE(SUBSTITUTE(F9,"&lt;li&gt;",CHAR(10)),"&lt;/li&gt;",""),"&lt;br&gt;",CHAR(10)),"&lt;strong&gt;",""))</f>
        <v>&lt;p&gt;Aucune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exprimés.&lt;/p&gt;</v>
      </c>
      <c r="H9" s="6" cm="1" t="str">
        <f t="array" ref="H9">IF(G9="","",SUBSTITUTE(SUBSTITUTE(SUBSTITUTE(SUBSTITUTE(SUBSTITUTE(G9,"&lt;p&gt;",""),"&lt;/p&gt;",""),"&lt;ul&gt;",""),"&lt;/ul&gt;",""),"&lt;/strong&gt;",""))</f>
        <v>Aucune activité menée sur le prospect. Seule information : une nouvelle piste a été créée pour l'équipe Ventes. Pas d'échanges, pas de retours, pas d'actions ou de prochaines étapes identifiées à ce jour. Aucun retour prospect ni mention de fonds présentés ou d'avis exprimés.</v>
      </c>
      <c r="I9" s="12" cm="1" t="str">
        <f t="array" ref="I9">IF(C9="","",IF(OR(H9="",H9=0,H9=FALSE),"-",H9))</f>
        <v>Aucune activité menée sur le prospect. Seule information : une nouvelle piste a été créée pour l'équipe Ventes. Pas d'échanges, pas de retours, pas d'actions ou de prochaines étapes identifiées à ce jour. Aucun retour prospect ni mention de fonds présentés ou d'avis exprimés.</v>
      </c>
      <c r="J9" s="6">
</c>
      <c r="K9" s="6" t="s">
        <v>29</v>
      </c>
      <c r="L9" s="6" cm="1" t="str">
        <f t="array" ref="L9">IF(C9="","",IF(K9="Mort / Plus rien à faire","KO","OK"))</f>
        <v>OK</v>
      </c>
      <c r="M9" s="13">
        <v>46063.50226851852</v>
      </c>
      <c r="N9" s="13" cm="1" t="n">
        <f t="array" ref="N9">IF(OR(C9="",M9="",M9=0),"",M9)</f>
        <v>46063.50226851852</v>
      </c>
      <c r="O9" s="13">
</c>
      <c r="P9" s="13" cm="1" t="str">
        <f t="array" ref="P9">IF(C9="","",IF(OR(O9="",O9=0),"-",O9))</f>
        <v>-</v>
      </c>
      <c r="Q9" s="14">
        <v>5000</v>
      </c>
      <c r="R9" s="6" cm="1" t="str">
        <f t="array" ref="R9">IF(C9="","",ROUND(Q9/1000000,3)&amp;" M€")</f>
        <v>0.005 M€</v>
      </c>
      <c r="S9" s="15">
        <v>100</v>
      </c>
      <c r="T9" s="6" cm="1" t="str">
        <f t="array" ref="T9">IF(C9="","",SUBSTITUTE(S9,"","")&amp;"%")</f>
        <v>100%</v>
      </c>
      <c r="U9" s="12" cm="1" t="str">
        <f t="array" ref="U9">IF(($N9="")*($P9=""),"",IF(($N9&lt;&gt;"")*($N9&gt;TODAY()-9)*($N9&lt;TODAY()+1)*($P9&lt;&gt;"")*($P9&gt;=TODAY())*($P9&lt;=TODAY()+13),"Semaine passée &amp; à venir",IF(($N9&lt;&gt;"")*($N9&gt;TODAY()-9)*($N9&lt;TODAY()+1),"Semaine passée",IF(($P9&lt;&gt;"")*($P9&gt;=TODAY())*($P9&lt;=TODAY()+13),"À venir","Autre"))))</f>
        <v>Autre</v>
      </c>
      <c r="V9" s="5" cm="1" t="n">
        <f t="array" ref="V9">IF(C9&lt;&gt;"",1,0)</f>
        <v>1</v>
      </c>
      <c r="W9" s="5">
</c>
      <c r="X9" s="5">
</c>
      <c r="Y9" s="5">
</c>
      <c r="Z9" s="5">
</c>
      <c r="AA9" s="5">
</c>
      <c r="AB9" s="5">
</c>
      <c r="AC9" s="5">
</c>
      <c r="AD9" s="5">
</c>
      <c r="AE9" s="5">
</c>
      <c r="AF9" s="5">
</c>
      <c r="AG9" s="5">
</c>
      <c r="AH9" s="5">
</c>
      <c r="AI9" s="5">
</c>
      <c r="AJ9" s="5">
</c>
      <c r="AK9" s="5">
</c>
    </row>
    <row r="10" ht="65.25" customHeight="1">
      <c r="A10" s="6" t="s">
        <v>23</v>
      </c>
      <c r="B10" s="6" t="s">
        <v>24</v>
      </c>
      <c r="C10" s="11" t="s">
        <v>46</v>
      </c>
      <c r="D10" s="11" t="s">
        <v>47</v>
      </c>
      <c r="E10" s="6" t="s">
        <v>27</v>
      </c>
      <c r="F10" s="6" t="s">
        <v>48</v>
      </c>
      <c r="G10" s="6" cm="1" t="str">
        <f t="array" ref="G10">IF(F10="","",SUBSTITUTE(SUBSTITUTE(SUBSTITUTE(SUBSTITUTE(F10,"&lt;li&gt;",CHAR(10)),"&lt;/li&gt;",""),"&lt;br&gt;",CHAR(10)),"&lt;strong&gt;",""))</f>
        <v>&lt;p&gt;Echanges réguliers avec le cabinet d’ingénierie fiscale/patrimoniale (50 clients, 10m€ récurrents, 4m€ diversification). Présentation des offres, retours positifs sur la diversification. Convention en cours de signature, relance prévue. Pas de mention de comité ni de contexte de création.&lt;/p&gt;</v>
      </c>
      <c r="H10" s="6" cm="1" t="str">
        <f t="array" ref="H10">IF(G10="","",SUBSTITUTE(SUBSTITUTE(SUBSTITUTE(SUBSTITUTE(SUBSTITUTE(G10,"&lt;p&gt;",""),"&lt;/p&gt;",""),"&lt;ul&gt;",""),"&lt;/ul&gt;",""),"&lt;/strong&gt;",""))</f>
        <v>Echanges réguliers avec le cabinet d’ingénierie fiscale/patrimoniale (50 clients, 10m€ récurrents, 4m€ diversification). Présentation des offres, retours positifs sur la diversification. Convention en cours de signature, relance prévue. Pas de mention de comité ni de contexte de création.</v>
      </c>
      <c r="I10" s="12" cm="1" t="str">
        <f t="array" ref="I10">IF(C10="","",IF(OR(H10="",H10=0,H10=FALSE),"-",H10))</f>
        <v>Echanges réguliers avec le cabinet d’ingénierie fiscale/patrimoniale (50 clients, 10m€ récurrents, 4m€ diversification). Présentation des offres, retours positifs sur la diversification. Convention en cours de signature, relance prévue. Pas de mention de comité ni de contexte de création.</v>
      </c>
      <c r="J10" s="6" t="s">
        <v>49</v>
      </c>
      <c r="K10" s="6" t="s">
        <v>50</v>
      </c>
      <c r="L10" s="6" cm="1" t="str">
        <f t="array" ref="L10">IF(C10="","",IF(K10="Mort / Plus rien à faire","KO","OK"))</f>
        <v>OK</v>
      </c>
      <c r="M10" s="13">
        <v>46174.6075462963</v>
      </c>
      <c r="N10" s="13" cm="1" t="n">
        <f t="array" ref="N10">IF(OR(C10="",M10="",M10=0),"",M10)</f>
        <v>46174.6075462963</v>
      </c>
      <c r="O10" s="13">
</c>
      <c r="P10" s="13" cm="1" t="str">
        <f t="array" ref="P10">IF(C10="","",IF(OR(O10="",O10=0),"-",O10))</f>
        <v>-</v>
      </c>
      <c r="Q10" s="14">
        <v>0</v>
      </c>
      <c r="R10" s="6" cm="1" t="str">
        <f t="array" ref="R10">IF(C10="","",ROUND(Q10/1000000,3)&amp;" M€")</f>
        <v>0 M€</v>
      </c>
      <c r="S10" s="15">
        <v>80</v>
      </c>
      <c r="T10" s="6" cm="1" t="str">
        <f t="array" ref="T10">IF(C10="","",SUBSTITUTE(S10,"","")&amp;"%")</f>
        <v>80%</v>
      </c>
      <c r="U10" s="12" cm="1" t="str">
        <f t="array" ref="U10">IF(($N10="")*($P10=""),"",IF(($N10&lt;&gt;"")*($N10&gt;TODAY()-9)*($N10&lt;TODAY()+1)*($P10&lt;&gt;"")*($P10&gt;=TODAY())*($P10&lt;=TODAY()+13),"Semaine passée &amp; à venir",IF(($N10&lt;&gt;"")*($N10&gt;TODAY()-9)*($N10&lt;TODAY()+1),"Semaine passée",IF(($P10&lt;&gt;"")*($P10&gt;=TODAY())*($P10&lt;=TODAY()+13),"À venir","Autre"))))</f>
        <v>Semaine passée</v>
      </c>
      <c r="V10" s="5" cm="1" t="n">
        <f t="array" ref="V10">IF(C10&lt;&gt;"",1,0)</f>
        <v>1</v>
      </c>
      <c r="W10" s="5">
</c>
      <c r="X10" s="5">
</c>
      <c r="Y10" s="5">
</c>
      <c r="Z10" s="5">
</c>
      <c r="AA10" s="5">
</c>
      <c r="AB10" s="5">
</c>
      <c r="AC10" s="5">
</c>
      <c r="AD10" s="5">
</c>
      <c r="AE10" s="5">
</c>
      <c r="AF10" s="5">
</c>
      <c r="AG10" s="5">
</c>
      <c r="AH10" s="5">
</c>
      <c r="AI10" s="5">
</c>
      <c r="AJ10" s="5">
</c>
      <c r="AK10" s="5">
</c>
    </row>
    <row r="11" ht="65.25" customHeight="1">
      <c r="A11" s="6" t="s">
        <v>23</v>
      </c>
      <c r="B11" s="6" t="s">
        <v>24</v>
      </c>
      <c r="C11" s="11" t="s">
        <v>51</v>
      </c>
      <c r="D11" s="11" t="s">
        <v>52</v>
      </c>
      <c r="E11" s="6" t="s">
        <v>53</v>
      </c>
      <c r="F11" s="6" t="s">
        <v>54</v>
      </c>
      <c r="G11" s="6" cm="1" t="str">
        <f t="array" ref="G11">IF(F11="","",SUBSTITUTE(SUBSTITUTE(SUBSTITUTE(SUBSTITUTE(F11,"&lt;li&gt;",CHAR(10)),"&lt;/li&gt;",""),"&lt;br&gt;",CHAR(10)),"&lt;strong&gt;",""))</f>
        <v>&lt;p&gt;Comité reporté, pas d'échéance en avril, repositionnement sur mai ou juin. Attente des éléments pour due diligence. Relance prévue dans les prochaines semaines. Pas d'autres retours ou décisions prospect sur fonds à ce stade. Prochaine étape&amp;nbsp;: réception éléments et validation en comité.&lt;/p&gt;</v>
      </c>
      <c r="H11" s="6" cm="1" t="str">
        <f t="array" ref="H11">IF(G11="","",SUBSTITUTE(SUBSTITUTE(SUBSTITUTE(SUBSTITUTE(SUBSTITUTE(G11,"&lt;p&gt;",""),"&lt;/p&gt;",""),"&lt;ul&gt;",""),"&lt;/ul&gt;",""),"&lt;/strong&gt;",""))</f>
        <v>Comité reporté, pas d'échéance en avril, repositionnement sur mai ou juin. Attente des éléments pour due diligence. Relance prévue dans les prochaines semaines. Pas d'autres retours ou décisions prospect sur fonds à ce stade. Prochaine étape&amp;nbsp;: réception éléments et validation en comité.</v>
      </c>
      <c r="I11" s="12" cm="1" t="str">
        <f t="array" ref="I11">IF(C11="","",IF(OR(H11="",H11=0,H11=FALSE),"-",H11))</f>
        <v>Comité reporté, pas d'échéance en avril, repositionnement sur mai ou juin. Attente des éléments pour due diligence. Relance prévue dans les prochaines semaines. Pas d'autres retours ou décisions prospect sur fonds à ce stade. Prochaine étape&amp;nbsp;: réception éléments et validation en comité.</v>
      </c>
      <c r="J11" s="6" t="s">
        <v>55</v>
      </c>
      <c r="K11" s="6" t="s">
        <v>50</v>
      </c>
      <c r="L11" s="6" cm="1" t="str">
        <f t="array" ref="L11">IF(C11="","",IF(K11="Mort / Plus rien à faire","KO","OK"))</f>
        <v>OK</v>
      </c>
      <c r="M11" s="13">
        <v>46174.72300925926</v>
      </c>
      <c r="N11" s="13" cm="1" t="n">
        <f t="array" ref="N11">IF(OR(C11="",M11="",M11=0),"",M11)</f>
        <v>46174.72300925926</v>
      </c>
      <c r="O11" s="13">
        <v>46181.083333333336</v>
      </c>
      <c r="P11" s="13" cm="1" t="n">
        <f t="array" ref="P11">IF(C11="","",IF(OR(O11="",O11=0),"-",O11))</f>
        <v>46181.083333333336</v>
      </c>
      <c r="Q11" s="14">
        <v>0</v>
      </c>
      <c r="R11" s="6" cm="1" t="str">
        <f t="array" ref="R11">IF(C11="","",ROUND(Q11/1000000,3)&amp;" M€")</f>
        <v>0 M€</v>
      </c>
      <c r="S11" s="15">
        <v>50</v>
      </c>
      <c r="T11" s="6" cm="1" t="str">
        <f t="array" ref="T11">IF(C11="","",SUBSTITUTE(S11,"","")&amp;"%")</f>
        <v>50%</v>
      </c>
      <c r="U11" s="12" cm="1" t="str">
        <f t="array" ref="U11">IF(($N11="")*($P11=""),"",IF(($N11&lt;&gt;"")*($N11&gt;TODAY()-9)*($N11&lt;TODAY()+1)*($P11&lt;&gt;"")*($P11&gt;=TODAY())*($P11&lt;=TODAY()+13),"Semaine passée &amp; à venir",IF(($N11&lt;&gt;"")*($N11&gt;TODAY()-9)*($N11&lt;TODAY()+1),"Semaine passée",IF(($P11&lt;&gt;"")*($P11&gt;=TODAY())*($P11&lt;=TODAY()+13),"À venir","Autre"))))</f>
        <v>Semaine passée &amp; à venir</v>
      </c>
      <c r="V11" s="5" cm="1" t="n">
        <f t="array" ref="V11">IF(C11&lt;&gt;"",1,0)</f>
        <v>1</v>
      </c>
      <c r="W11" s="5">
</c>
      <c r="X11" s="5">
</c>
      <c r="Y11" s="5">
</c>
      <c r="Z11" s="5">
</c>
      <c r="AA11" s="5">
</c>
      <c r="AB11" s="5">
</c>
      <c r="AC11" s="5">
</c>
      <c r="AD11" s="5">
</c>
      <c r="AE11" s="5">
</c>
      <c r="AF11" s="5">
</c>
      <c r="AG11" s="5">
</c>
      <c r="AH11" s="5">
</c>
      <c r="AI11" s="5">
</c>
      <c r="AJ11" s="5">
</c>
      <c r="AK11" s="5">
</c>
    </row>
    <row r="12" ht="65.25" customHeight="1">
      <c r="A12" s="6" t="s">
        <v>23</v>
      </c>
      <c r="B12" s="6" t="s">
        <v>43</v>
      </c>
      <c r="C12" s="11" t="s">
        <v>56</v>
      </c>
      <c r="D12" s="11" t="s">
        <v>56</v>
      </c>
      <c r="E12" s="6" t="s">
        <v>57</v>
      </c>
      <c r="F12" s="6" t="s">
        <v>58</v>
      </c>
      <c r="G12" s="6" cm="1" t="str">
        <f t="array" ref="G12">IF(F12="","",SUBSTITUTE(SUBSTITUTE(SUBSTITUTE(SUBSTITUTE(F12,"&lt;li&gt;",CHAR(10)),"&lt;/li&gt;",""),"&lt;br&gt;",CHAR(10)),"&lt;strong&gt;",""))</f>
        <v>&lt;p&gt;Piste créée pour équipe Ventes le 16/03. Lead enrichi sans données société trouvées (16/03). Mention "Lead de CB" (23/03). Aucun échange, action ou retour prospect identifié depuis. Pas d'activité, pas de prochaine étape connue. Aucun avis prospect sur fonds présenté.&lt;/p&gt;</v>
      </c>
      <c r="H12" s="6" cm="1" t="str">
        <f t="array" ref="H12">IF(G12="","",SUBSTITUTE(SUBSTITUTE(SUBSTITUTE(SUBSTITUTE(SUBSTITUTE(G12,"&lt;p&gt;",""),"&lt;/p&gt;",""),"&lt;ul&gt;",""),"&lt;/ul&gt;",""),"&lt;/strong&gt;",""))</f>
        <v>Piste créée pour équipe Ventes le 16/03. Lead enrichi sans données société trouvées (16/03). Mention "Lead de CB" (23/03). Aucun échange, action ou retour prospect identifié depuis. Pas d'activité, pas de prochaine étape connue. Aucun avis prospect sur fonds présenté.</v>
      </c>
      <c r="I12" s="12" cm="1" t="str">
        <f t="array" ref="I12">IF(C12="","",IF(OR(H12="",H12=0,H12=FALSE),"-",H12))</f>
        <v>Piste créée pour équipe Ventes le 16/03. Lead enrichi sans données société trouvées (16/03). Mention "Lead de CB" (23/03). Aucun échange, action ou retour prospect identifié depuis. Pas d'activité, pas de prochaine étape connue. Aucun avis prospect sur fonds présenté.</v>
      </c>
      <c r="J12" s="6">
</c>
      <c r="K12" s="6" t="s">
        <v>59</v>
      </c>
      <c r="L12" s="6" cm="1" t="str">
        <f t="array" ref="L12">IF(C12="","",IF(K12="Mort / Plus rien à faire","KO","OK"))</f>
        <v>OK</v>
      </c>
      <c r="M12" s="13">
        <v>46125.59074074074</v>
      </c>
      <c r="N12" s="13" cm="1" t="n">
        <f t="array" ref="N12">IF(OR(C12="",M12="",M12=0),"",M12)</f>
        <v>46125.59074074074</v>
      </c>
      <c r="O12" s="13">
</c>
      <c r="P12" s="13" cm="1" t="str">
        <f t="array" ref="P12">IF(C12="","",IF(OR(O12="",O12=0),"-",O12))</f>
        <v>-</v>
      </c>
      <c r="Q12" s="14">
        <v>100000</v>
      </c>
      <c r="R12" s="6" cm="1" t="str">
        <f t="array" ref="R12">IF(C12="","",ROUND(Q12/1000000,3)&amp;" M€")</f>
        <v>0.1 M€</v>
      </c>
      <c r="S12" s="15">
        <v>50</v>
      </c>
      <c r="T12" s="6" cm="1" t="str">
        <f t="array" ref="T12">IF(C12="","",SUBSTITUTE(S12,"","")&amp;"%")</f>
        <v>50%</v>
      </c>
      <c r="U12" s="12" cm="1" t="str">
        <f t="array" ref="U12">IF(($N12="")*($P12=""),"",IF(($N12&lt;&gt;"")*($N12&gt;TODAY()-9)*($N12&lt;TODAY()+1)*($P12&lt;&gt;"")*($P12&gt;=TODAY())*($P12&lt;=TODAY()+13),"Semaine passée &amp; à venir",IF(($N12&lt;&gt;"")*($N12&gt;TODAY()-9)*($N12&lt;TODAY()+1),"Semaine passée",IF(($P12&lt;&gt;"")*($P12&gt;=TODAY())*($P12&lt;=TODAY()+13),"À venir","Autre"))))</f>
        <v>Autre</v>
      </c>
      <c r="V12" s="5" cm="1" t="n">
        <f t="array" ref="V12">IF(C12&lt;&gt;"",1,0)</f>
        <v>1</v>
      </c>
      <c r="W12" s="5">
</c>
      <c r="X12" s="5">
</c>
      <c r="Y12" s="5">
</c>
      <c r="Z12" s="5">
</c>
      <c r="AA12" s="5">
</c>
      <c r="AB12" s="5">
</c>
      <c r="AC12" s="5">
</c>
      <c r="AD12" s="5">
</c>
      <c r="AE12" s="5">
</c>
      <c r="AF12" s="5">
</c>
      <c r="AG12" s="5">
</c>
      <c r="AH12" s="5">
</c>
      <c r="AI12" s="5">
</c>
      <c r="AJ12" s="5">
</c>
      <c r="AK12" s="5">
</c>
    </row>
    <row r="13" ht="65.25" customHeight="1">
      <c r="A13" s="6" t="s">
        <v>23</v>
      </c>
      <c r="B13" s="6" t="s">
        <v>24</v>
      </c>
      <c r="C13" s="11" t="s">
        <v>60</v>
      </c>
      <c r="D13" s="11" t="s">
        <v>61</v>
      </c>
      <c r="E13" s="6" t="s">
        <v>27</v>
      </c>
      <c r="F13" s="6" t="s">
        <v>62</v>
      </c>
      <c r="G13" s="6" cm="1" t="str">
        <f t="array" ref="G13">IF(F13="","",SUBSTITUTE(SUBSTITUTE(SUBSTITUTE(SUBSTITUTE(F13,"&lt;li&gt;",CHAR(10)),"&lt;/li&gt;",""),"&lt;br&gt;",CHAR(10)),"&lt;strong&gt;",""))</f>
        <v>&lt;p&gt;Visio 17/03 : présentation FCPI, intérêt pour innovation, demande de transparence et d'infos régulières, défisc prioritaire pour clients. Plusieurs relances et mails pour organiser 2nd RDV avec Cédric et signature convention. Dernier message 28/05 : RDV à organiser, relance en cours.&lt;/p&gt;</v>
      </c>
      <c r="H13" s="6" cm="1" t="str">
        <f t="array" ref="H13">IF(G13="","",SUBSTITUTE(SUBSTITUTE(SUBSTITUTE(SUBSTITUTE(SUBSTITUTE(G13,"&lt;p&gt;",""),"&lt;/p&gt;",""),"&lt;ul&gt;",""),"&lt;/ul&gt;",""),"&lt;/strong&gt;",""))</f>
        <v>Visio 17/03 : présentation FCPI, intérêt pour innovation, demande de transparence et d'infos régulières, défisc prioritaire pour clients. Plusieurs relances et mails pour organiser 2nd RDV avec Cédric et signature convention. Dernier message 28/05 : RDV à organiser, relance en cours.</v>
      </c>
      <c r="I13" s="12" cm="1" t="str">
        <f t="array" ref="I13">IF(C13="","",IF(OR(H13="",H13=0,H13=FALSE),"-",H13))</f>
        <v>Visio 17/03 : présentation FCPI, intérêt pour innovation, demande de transparence et d'infos régulières, défisc prioritaire pour clients. Plusieurs relances et mails pour organiser 2nd RDV avec Cédric et signature convention. Dernier message 28/05 : RDV à organiser, relance en cours.</v>
      </c>
      <c r="J13" s="6">
</c>
      <c r="K13" s="6" t="s">
        <v>50</v>
      </c>
      <c r="L13" s="6" cm="1" t="str">
        <f t="array" ref="L13">IF(C13="","",IF(K13="Mort / Plus rien à faire","KO","OK"))</f>
        <v>OK</v>
      </c>
      <c r="M13" s="13">
        <v>46170.62185185185</v>
      </c>
      <c r="N13" s="13" cm="1" t="n">
        <f t="array" ref="N13">IF(OR(C13="",M13="",M13=0),"",M13)</f>
        <v>46170.62185185185</v>
      </c>
      <c r="O13" s="13">
</c>
      <c r="P13" s="13" cm="1" t="str">
        <f t="array" ref="P13">IF(C13="","",IF(OR(O13="",O13=0),"-",O13))</f>
        <v>-</v>
      </c>
      <c r="Q13" s="14">
        <v>0</v>
      </c>
      <c r="R13" s="6" cm="1" t="str">
        <f t="array" ref="R13">IF(C13="","",ROUND(Q13/1000000,3)&amp;" M€")</f>
        <v>0 M€</v>
      </c>
      <c r="S13" s="15">
        <v>50</v>
      </c>
      <c r="T13" s="6" cm="1" t="str">
        <f t="array" ref="T13">IF(C13="","",SUBSTITUTE(S13,"","")&amp;"%")</f>
        <v>50%</v>
      </c>
      <c r="U13" s="12" cm="1" t="str">
        <f t="array" ref="U13">IF(($N13="")*($P13=""),"",IF(($N13&lt;&gt;"")*($N13&gt;TODAY()-9)*($N13&lt;TODAY()+1)*($P13&lt;&gt;"")*($P13&gt;=TODAY())*($P13&lt;=TODAY()+13),"Semaine passée &amp; à venir",IF(($N13&lt;&gt;"")*($N13&gt;TODAY()-9)*($N13&lt;TODAY()+1),"Semaine passée",IF(($P13&lt;&gt;"")*($P13&gt;=TODAY())*($P13&lt;=TODAY()+13),"À venir","Autre"))))</f>
        <v>Semaine passée</v>
      </c>
      <c r="V13" s="5" cm="1" t="n">
        <f t="array" ref="V13">IF(C13&lt;&gt;"",1,0)</f>
        <v>1</v>
      </c>
      <c r="W13" s="5">
</c>
      <c r="X13" s="5">
</c>
      <c r="Y13" s="5">
</c>
      <c r="Z13" s="5">
</c>
      <c r="AA13" s="5">
</c>
      <c r="AB13" s="5">
</c>
      <c r="AC13" s="5">
</c>
      <c r="AD13" s="5">
</c>
      <c r="AE13" s="5">
</c>
      <c r="AF13" s="5">
</c>
      <c r="AG13" s="5">
</c>
      <c r="AH13" s="5">
</c>
      <c r="AI13" s="5">
</c>
      <c r="AJ13" s="5">
</c>
      <c r="AK13" s="5">
</c>
    </row>
    <row r="14" ht="65.25" customHeight="1">
      <c r="A14" s="6" t="s">
        <v>23</v>
      </c>
      <c r="B14" s="6" t="s">
        <v>43</v>
      </c>
      <c r="C14" s="11" t="s">
        <v>63</v>
      </c>
      <c r="D14" s="11" t="s">
        <v>63</v>
      </c>
      <c r="E14" s="6" t="s">
        <v>38</v>
      </c>
      <c r="F14" s="6" t="s">
        <v>64</v>
      </c>
      <c r="G14" s="6" cm="1" t="str">
        <f t="array" ref="G14">IF(F14="","",SUBSTITUTE(SUBSTITUTE(SUBSTITUTE(SUBSTITUTE(F14,"&lt;li&gt;",CHAR(10)),"&lt;/li&gt;",""),"&lt;br&gt;",CHAR(10)),"&lt;strong&gt;",""))</f>
        <v>&lt;p&gt;Lead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additionnel.&lt;/p&gt;</v>
      </c>
      <c r="H14" s="6" cm="1" t="str">
        <f t="array" ref="H14">IF(G14="","",SUBSTITUTE(SUBSTITUTE(SUBSTITUTE(SUBSTITUTE(SUBSTITUTE(G14,"&lt;p&gt;",""),"&lt;/p&gt;",""),"&lt;ul&gt;",""),"&lt;/ul&gt;",""),"&lt;/strong&gt;",""))</f>
        <v>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v>
      </c>
      <c r="I14" s="12" cm="1" t="str">
        <f t="array" ref="I14">IF(C14="","",IF(OR(H14="",H14=0,H14=FALSE),"-",H14))</f>
        <v>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v>
      </c>
      <c r="J14" s="6">
</c>
      <c r="K14" s="6" t="s">
        <v>59</v>
      </c>
      <c r="L14" s="6" cm="1" t="str">
        <f t="array" ref="L14">IF(C14="","",IF(K14="Mort / Plus rien à faire","KO","OK"))</f>
        <v>OK</v>
      </c>
      <c r="M14" s="13">
        <v>46125.59012731481</v>
      </c>
      <c r="N14" s="13" cm="1" t="n">
        <f t="array" ref="N14">IF(OR(C14="",M14="",M14=0),"",M14)</f>
        <v>46125.59012731481</v>
      </c>
      <c r="O14" s="13">
</c>
      <c r="P14" s="13" cm="1" t="str">
        <f t="array" ref="P14">IF(C14="","",IF(OR(O14="",O14=0),"-",O14))</f>
        <v>-</v>
      </c>
      <c r="Q14" s="14">
        <v>0</v>
      </c>
      <c r="R14" s="6" cm="1" t="str">
        <f t="array" ref="R14">IF(C14="","",ROUND(Q14/1000000,3)&amp;" M€")</f>
        <v>0 M€</v>
      </c>
      <c r="S14" s="15">
        <v>50</v>
      </c>
      <c r="T14" s="6" cm="1" t="str">
        <f t="array" ref="T14">IF(C14="","",SUBSTITUTE(S14,"","")&amp;"%")</f>
        <v>50%</v>
      </c>
      <c r="U14" s="12" cm="1" t="str">
        <f t="array" ref="U14">IF(($N14="")*($P14=""),"",IF(($N14&lt;&gt;"")*($N14&gt;TODAY()-9)*($N14&lt;TODAY()+1)*($P14&lt;&gt;"")*($P14&gt;=TODAY())*($P14&lt;=TODAY()+13),"Semaine passée &amp; à venir",IF(($N14&lt;&gt;"")*($N14&gt;TODAY()-9)*($N14&lt;TODAY()+1),"Semaine passée",IF(($P14&lt;&gt;"")*($P14&gt;=TODAY())*($P14&lt;=TODAY()+13),"À venir","Autre"))))</f>
        <v>Autre</v>
      </c>
      <c r="V14" s="5" cm="1" t="n">
        <f t="array" ref="V14">IF(C14&lt;&gt;"",1,0)</f>
        <v>1</v>
      </c>
      <c r="W14" s="5">
</c>
      <c r="X14" s="5">
</c>
      <c r="Y14" s="5">
</c>
      <c r="Z14" s="5">
</c>
      <c r="AA14" s="5">
</c>
      <c r="AB14" s="5">
</c>
      <c r="AC14" s="5">
</c>
      <c r="AD14" s="5">
</c>
      <c r="AE14" s="5">
</c>
      <c r="AF14" s="5">
</c>
      <c r="AG14" s="5">
</c>
      <c r="AH14" s="5">
</c>
      <c r="AI14" s="5">
</c>
      <c r="AJ14" s="5">
</c>
      <c r="AK14" s="5">
</c>
    </row>
    <row r="15" ht="65.25" customHeight="1">
      <c r="A15" s="6" t="s">
        <v>23</v>
      </c>
      <c r="B15" s="6" t="s">
        <v>43</v>
      </c>
      <c r="C15" s="11" t="s">
        <v>43</v>
      </c>
      <c r="D15" s="11" t="s">
        <v>65</v>
      </c>
      <c r="E15" s="6" t="s">
        <v>38</v>
      </c>
      <c r="F15" s="6" t="s">
        <v>66</v>
      </c>
      <c r="G15" s="6" cm="1" t="str">
        <f t="array" ref="G15">IF(F15="","",SUBSTITUTE(SUBSTITUTE(SUBSTITUTE(SUBSTITUTE(F15,"&lt;li&gt;",CHAR(10)),"&lt;/li&gt;",""),"&lt;br&gt;",CHAR(10)),"&lt;strong&gt;",""))</f>
        <v>&lt;p&gt;Nouvelle piste créée pour équipe Ventes. Mail envoyé pour prévoir échange téléphonique sur le FCPI. Pas de données société trouvées via enrichissement email. Aucun retour prospect ni activité complémentaire enregistrée. Prochaines étapes : attendre retour pour fixer l'échange téléphonique.&lt;/p&gt;</v>
      </c>
      <c r="H15" s="6" cm="1" t="str">
        <f t="array" ref="H15">IF(G15="","",SUBSTITUTE(SUBSTITUTE(SUBSTITUTE(SUBSTITUTE(SUBSTITUTE(G15,"&lt;p&gt;",""),"&lt;/p&gt;",""),"&lt;ul&gt;",""),"&lt;/ul&gt;",""),"&lt;/strong&gt;",""))</f>
        <v>Nouvelle piste créée pour équipe Ventes. Mail envoyé pour prévoir échange téléphonique sur le FCPI. Pas de données société trouvées via enrichissement email. Aucun retour prospect ni activité complémentaire enregistrée. Prochaines étapes : attendre retour pour fixer l'échange téléphonique.</v>
      </c>
      <c r="I15" s="12" cm="1" t="str">
        <f t="array" ref="I15">IF(C15="","",IF(OR(H15="",H15=0,H15=FALSE),"-",H15))</f>
        <v>Nouvelle piste créée pour équipe Ventes. Mail envoyé pour prévoir échange téléphonique sur le FCPI. Pas de données société trouvées via enrichissement email. Aucun retour prospect ni activité complémentaire enregistrée. Prochaines étapes : attendre retour pour fixer l'échange téléphonique.</v>
      </c>
      <c r="J15" s="6">
</c>
      <c r="K15" s="6" t="s">
        <v>59</v>
      </c>
      <c r="L15" s="6" cm="1" t="str">
        <f t="array" ref="L15">IF(C15="","",IF(K15="Mort / Plus rien à faire","KO","OK"))</f>
        <v>OK</v>
      </c>
      <c r="M15" s="13">
        <v>46132.60559027778</v>
      </c>
      <c r="N15" s="13" cm="1" t="n">
        <f t="array" ref="N15">IF(OR(C15="",M15="",M15=0),"",M15)</f>
        <v>46132.60559027778</v>
      </c>
      <c r="O15" s="13">
</c>
      <c r="P15" s="13" cm="1" t="str">
        <f t="array" ref="P15">IF(C15="","",IF(OR(O15="",O15=0),"-",O15))</f>
        <v>-</v>
      </c>
      <c r="Q15" s="14">
        <v>0</v>
      </c>
      <c r="R15" s="6" cm="1" t="str">
        <f t="array" ref="R15">IF(C15="","",ROUND(Q15/1000000,3)&amp;" M€")</f>
        <v>0 M€</v>
      </c>
      <c r="S15" s="15">
        <v>40</v>
      </c>
      <c r="T15" s="6" cm="1" t="str">
        <f t="array" ref="T15">IF(C15="","",SUBSTITUTE(S15,"","")&amp;"%")</f>
        <v>40%</v>
      </c>
      <c r="U15" s="12" cm="1" t="str">
        <f t="array" ref="U15">IF(($N15="")*($P15=""),"",IF(($N15&lt;&gt;"")*($N15&gt;TODAY()-9)*($N15&lt;TODAY()+1)*($P15&lt;&gt;"")*($P15&gt;=TODAY())*($P15&lt;=TODAY()+13),"Semaine passée &amp; à venir",IF(($N15&lt;&gt;"")*($N15&gt;TODAY()-9)*($N15&lt;TODAY()+1),"Semaine passée",IF(($P15&lt;&gt;"")*($P15&gt;=TODAY())*($P15&lt;=TODAY()+13),"À venir","Autre"))))</f>
        <v>Autre</v>
      </c>
      <c r="V15" s="5" cm="1" t="n">
        <f t="array" ref="V15">IF(C15&lt;&gt;"",1,0)</f>
        <v>1</v>
      </c>
      <c r="W15" s="5">
</c>
      <c r="X15" s="5">
</c>
      <c r="Y15" s="5">
</c>
      <c r="Z15" s="5">
</c>
      <c r="AA15" s="5">
</c>
      <c r="AB15" s="5">
</c>
      <c r="AC15" s="5">
</c>
      <c r="AD15" s="5">
</c>
      <c r="AE15" s="5">
</c>
      <c r="AF15" s="5">
</c>
      <c r="AG15" s="5">
</c>
      <c r="AH15" s="5">
</c>
      <c r="AI15" s="5">
</c>
      <c r="AJ15" s="5">
</c>
      <c r="AK15" s="5">
</c>
    </row>
    <row r="16" ht="65.25" customHeight="1">
      <c r="A16" s="6" t="s">
        <v>23</v>
      </c>
      <c r="B16" s="6" t="s">
        <v>24</v>
      </c>
      <c r="C16" s="11" t="s">
        <v>67</v>
      </c>
      <c r="D16" s="11" t="s">
        <v>68</v>
      </c>
      <c r="E16" s="6" t="s">
        <v>27</v>
      </c>
      <c r="F16" s="6" t="s">
        <v>69</v>
      </c>
      <c r="G16" s="6" cm="1" t="str">
        <f t="array" ref="G16">IF(F16="","",SUBSTITUTE(SUBSTITUTE(SUBSTITUTE(SUBSTITUTE(F16,"&lt;li&gt;",CHAR(10)),"&lt;/li&gt;",""),"&lt;br&gt;",CHAR(10)),"&lt;strong&gt;",""))</f>
        <v>&lt;p&gt;Cold call 11/2025, Vincent intéressé par nos fonds. Présentation Audacia &amp;amp; FCPI 12/03/2026, relance prévue juin pour campagne septembre. Feedback : FCPI possible, RDV à organiser fin juin avec Cédric. Contact Métagram évoqué, café à prévoir à Toulouse. Présentations envoyées, suivi régulier.&lt;/p&gt;</v>
      </c>
      <c r="H16" s="6" cm="1" t="str">
        <f t="array" ref="H16">IF(G16="","",SUBSTITUTE(SUBSTITUTE(SUBSTITUTE(SUBSTITUTE(SUBSTITUTE(G16,"&lt;p&gt;",""),"&lt;/p&gt;",""),"&lt;ul&gt;",""),"&lt;/ul&gt;",""),"&lt;/strong&gt;",""))</f>
        <v>Cold call 11/2025, Vincent intéressé par nos fonds. Présentation Audacia &amp;amp; FCPI 12/03/2026, relance prévue juin pour campagne septembre. Feedback : FCPI possible, RDV à organiser fin juin avec Cédric. Contact Métagram évoqué, café à prévoir à Toulouse. Présentations envoyées, suivi régulier.</v>
      </c>
      <c r="I16" s="12" cm="1" t="str">
        <f t="array" ref="I16">IF(C16="","",IF(OR(H16="",H16=0,H16=FALSE),"-",H16))</f>
        <v>Cold call 11/2025, Vincent intéressé par nos fonds. Présentation Audacia &amp;amp; FCPI 12/03/2026, relance prévue juin pour campagne septembre. Feedback : FCPI possible, RDV à organiser fin juin avec Cédric. Contact Métagram évoqué, café à prévoir à Toulouse. Présentations envoyées, suivi régulier.</v>
      </c>
      <c r="J16" s="6">
</c>
      <c r="K16" s="6" t="s">
        <v>59</v>
      </c>
      <c r="L16" s="6" cm="1" t="str">
        <f t="array" ref="L16">IF(C16="","",IF(K16="Mort / Plus rien à faire","KO","OK"))</f>
        <v>OK</v>
      </c>
      <c r="M16" s="13">
        <v>46154.595300925925</v>
      </c>
      <c r="N16" s="13" cm="1" t="n">
        <f t="array" ref="N16">IF(OR(C16="",M16="",M16=0),"",M16)</f>
        <v>46154.595300925925</v>
      </c>
      <c r="O16" s="13">
</c>
      <c r="P16" s="13" cm="1" t="str">
        <f t="array" ref="P16">IF(C16="","",IF(OR(O16="",O16=0),"-",O16))</f>
        <v>-</v>
      </c>
      <c r="Q16" s="14">
        <v>0</v>
      </c>
      <c r="R16" s="6" cm="1" t="str">
        <f t="array" ref="R16">IF(C16="","",ROUND(Q16/1000000,3)&amp;" M€")</f>
        <v>0 M€</v>
      </c>
      <c r="S16" s="15">
        <v>30</v>
      </c>
      <c r="T16" s="6" cm="1" t="str">
        <f t="array" ref="T16">IF(C16="","",SUBSTITUTE(S16,"","")&amp;"%")</f>
        <v>30%</v>
      </c>
      <c r="U16" s="12" cm="1" t="str">
        <f t="array" ref="U16">IF(($N16="")*($P16=""),"",IF(($N16&lt;&gt;"")*($N16&gt;TODAY()-9)*($N16&lt;TODAY()+1)*($P16&lt;&gt;"")*($P16&gt;=TODAY())*($P16&lt;=TODAY()+13),"Semaine passée &amp; à venir",IF(($N16&lt;&gt;"")*($N16&gt;TODAY()-9)*($N16&lt;TODAY()+1),"Semaine passée",IF(($P16&lt;&gt;"")*($P16&gt;=TODAY())*($P16&lt;=TODAY()+13),"À venir","Autre"))))</f>
        <v>Autre</v>
      </c>
      <c r="V16" s="5" cm="1" t="n">
        <f t="array" ref="V16">IF(C16&lt;&gt;"",1,0)</f>
        <v>1</v>
      </c>
      <c r="W16" s="5">
</c>
      <c r="X16" s="5">
</c>
      <c r="Y16" s="5">
</c>
      <c r="Z16" s="5">
</c>
      <c r="AA16" s="5">
</c>
      <c r="AB16" s="5">
</c>
      <c r="AC16" s="5">
</c>
      <c r="AD16" s="5">
</c>
      <c r="AE16" s="5">
</c>
      <c r="AF16" s="5">
</c>
      <c r="AG16" s="5">
</c>
      <c r="AH16" s="5">
</c>
      <c r="AI16" s="5">
</c>
      <c r="AJ16" s="5">
</c>
      <c r="AK16" s="5">
</c>
    </row>
    <row r="17" ht="65.25" customHeight="1">
      <c r="A17" s="6" t="s">
        <v>23</v>
      </c>
      <c r="B17" s="6" t="s">
        <v>70</v>
      </c>
      <c r="C17" s="11" t="s">
        <v>71</v>
      </c>
      <c r="D17" s="11" t="s">
        <v>72</v>
      </c>
      <c r="E17" s="6" t="s">
        <v>53</v>
      </c>
      <c r="F17" s="6" t="s">
        <v>73</v>
      </c>
      <c r="G17" s="6" cm="1" t="str">
        <f t="array" ref="G17">IF(F17="","",SUBSTITUTE(SUBSTITUTE(SUBSTITUTE(SUBSTITUTE(F17,"&lt;li&gt;",CHAR(10)),"&lt;/li&gt;",""),"&lt;br&gt;",CHAR(10)),"&lt;strong&gt;",""))</f>
        <v>&lt;p&gt;RDV physique calé avec Romain Barnay (Directeur Banque Privé) pour approche banquier privé. Dernière action : prise de contact, objectif : présenter fonds XXXX. Pas de retour prospect sur fonds à ce stade. Prochaine étape : tenir le RDV fixé, suivi à prévoir selon échanges.&lt;/p&gt;</v>
      </c>
      <c r="H17" s="6" cm="1" t="str">
        <f t="array" ref="H17">IF(G17="","",SUBSTITUTE(SUBSTITUTE(SUBSTITUTE(SUBSTITUTE(SUBSTITUTE(G17,"&lt;p&gt;",""),"&lt;/p&gt;",""),"&lt;ul&gt;",""),"&lt;/ul&gt;",""),"&lt;/strong&gt;",""))</f>
        <v>RDV physique calé avec Romain Barnay (Directeur Banque Privé) pour approche banquier privé. Dernière action : prise de contact, objectif : présenter fonds XXXX. Pas de retour prospect sur fonds à ce stade. Prochaine étape : tenir le RDV fixé, suivi à prévoir selon échanges.</v>
      </c>
      <c r="I17" s="12" cm="1" t="str">
        <f t="array" ref="I17">IF(C17="","",IF(OR(H17="",H17=0,H17=FALSE),"-",H17))</f>
        <v>RDV physique calé avec Romain Barnay (Directeur Banque Privé) pour approche banquier privé. Dernière action : prise de contact, objectif : présenter fonds XXXX. Pas de retour prospect sur fonds à ce stade. Prochaine étape : tenir le RDV fixé, suivi à prévoir selon échanges.</v>
      </c>
      <c r="J17" s="6" t="s">
        <v>74</v>
      </c>
      <c r="K17" s="6" t="s">
        <v>75</v>
      </c>
      <c r="L17" s="6" cm="1" t="str">
        <f t="array" ref="L17">IF(C17="","",IF(K17="Mort / Plus rien à faire","KO","OK"))</f>
        <v>OK</v>
      </c>
      <c r="M17" s="13">
        <v>46129.75131944445</v>
      </c>
      <c r="N17" s="13" cm="1" t="n">
        <f t="array" ref="N17">IF(OR(C17="",M17="",M17=0),"",M17)</f>
        <v>46129.75131944445</v>
      </c>
      <c r="O17" s="13">
</c>
      <c r="P17" s="13" cm="1" t="str">
        <f t="array" ref="P17">IF(C17="","",IF(OR(O17="",O17=0),"-",O17))</f>
        <v>-</v>
      </c>
      <c r="Q17" s="14">
        <v>0</v>
      </c>
      <c r="R17" s="6" cm="1" t="str">
        <f t="array" ref="R17">IF(C17="","",ROUND(Q17/1000000,3)&amp;" M€")</f>
        <v>0 M€</v>
      </c>
      <c r="S17" s="15">
        <v>30</v>
      </c>
      <c r="T17" s="6" cm="1" t="str">
        <f t="array" ref="T17">IF(C17="","",SUBSTITUTE(S17,"","")&amp;"%")</f>
        <v>30%</v>
      </c>
      <c r="U17" s="12" cm="1" t="str">
        <f t="array" ref="U17">IF(($N17="")*($P17=""),"",IF(($N17&lt;&gt;"")*($N17&gt;TODAY()-9)*($N17&lt;TODAY()+1)*($P17&lt;&gt;"")*($P17&gt;=TODAY())*($P17&lt;=TODAY()+13),"Semaine passée &amp; à venir",IF(($N17&lt;&gt;"")*($N17&gt;TODAY()-9)*($N17&lt;TODAY()+1),"Semaine passée",IF(($P17&lt;&gt;"")*($P17&gt;=TODAY())*($P17&lt;=TODAY()+13),"À venir","Autre"))))</f>
        <v>Autre</v>
      </c>
      <c r="V17" s="5" cm="1" t="n">
        <f t="array" ref="V17">IF(C17&lt;&gt;"",1,0)</f>
        <v>1</v>
      </c>
      <c r="W17" s="5">
</c>
      <c r="X17" s="5">
</c>
      <c r="Y17" s="5">
</c>
      <c r="Z17" s="5">
</c>
      <c r="AA17" s="5">
</c>
      <c r="AB17" s="5">
</c>
      <c r="AC17" s="5">
</c>
      <c r="AD17" s="5">
</c>
      <c r="AE17" s="5">
</c>
      <c r="AF17" s="5">
</c>
      <c r="AG17" s="5">
</c>
      <c r="AH17" s="5">
</c>
      <c r="AI17" s="5">
</c>
      <c r="AJ17" s="5">
</c>
      <c r="AK17" s="5">
</c>
    </row>
    <row r="18" ht="65.25" customHeight="1">
      <c r="A18" s="6" t="s">
        <v>23</v>
      </c>
      <c r="B18" s="6" t="s">
        <v>76</v>
      </c>
      <c r="C18" s="11" t="s">
        <v>77</v>
      </c>
      <c r="D18" s="11" t="s">
        <v>78</v>
      </c>
      <c r="E18" s="6" t="s">
        <v>57</v>
      </c>
      <c r="F18" s="6" t="s">
        <v>79</v>
      </c>
      <c r="G18" s="6" cm="1" t="str">
        <f t="array" ref="G18">IF(F18="","",SUBSTITUTE(SUBSTITUTE(SUBSTITUTE(SUBSTITUTE(F18,"&lt;li&gt;",CHAR(10)),"&lt;/li&gt;",""),"&lt;br&gt;",CHAR(10)),"&lt;strong&gt;",""))</f>
        <v>&lt;p&gt;2026.05.26 RDV présentation CJ avec prospect Ramify. Participants : Hugo Alvez Ferreira, Cédric James. Responsable Private Assets intéressé par nos solutions, échanges positifs. Prochaine étape : suivi post-rdv à planifier, attente retour prospect sur solutions présentées.&lt;/p&gt;</v>
      </c>
      <c r="H18" s="6" cm="1" t="str">
        <f t="array" ref="H18">IF(G18="","",SUBSTITUTE(SUBSTITUTE(SUBSTITUTE(SUBSTITUTE(SUBSTITUTE(G18,"&lt;p&gt;",""),"&lt;/p&gt;",""),"&lt;ul&gt;",""),"&lt;/ul&gt;",""),"&lt;/strong&gt;",""))</f>
        <v>2026.05.26 RDV présentation CJ avec prospect Ramify. Participants : Hugo Alvez Ferreira, Cédric James. Responsable Private Assets intéressé par nos solutions, échanges positifs. Prochaine étape : suivi post-rdv à planifier, attente retour prospect sur solutions présentées.</v>
      </c>
      <c r="I18" s="12" cm="1" t="str">
        <f t="array" ref="I18">IF(C18="","",IF(OR(H18="",H18=0,H18=FALSE),"-",H18))</f>
        <v>2026.05.26 RDV présentation CJ avec prospect Ramify. Participants : Hugo Alvez Ferreira, Cédric James. Responsable Private Assets intéressé par nos solutions, échanges positifs. Prochaine étape : suivi post-rdv à planifier, attente retour prospect sur solutions présentées.</v>
      </c>
      <c r="J18" s="6" t="s">
        <v>80</v>
      </c>
      <c r="K18" s="6" t="s">
        <v>59</v>
      </c>
      <c r="L18" s="6" cm="1" t="str">
        <f t="array" ref="L18">IF(C18="","",IF(K18="Mort / Plus rien à faire","KO","OK"))</f>
        <v>OK</v>
      </c>
      <c r="M18" s="13">
        <v>46174.63993055555</v>
      </c>
      <c r="N18" s="13" cm="1" t="n">
        <f t="array" ref="N18">IF(OR(C18="",M18="",M18=0),"",M18)</f>
        <v>46174.63993055555</v>
      </c>
      <c r="O18" s="13">
</c>
      <c r="P18" s="13" cm="1" t="str">
        <f t="array" ref="P18">IF(C18="","",IF(OR(O18="",O18=0),"-",O18))</f>
        <v>-</v>
      </c>
      <c r="Q18" s="14">
        <v>0</v>
      </c>
      <c r="R18" s="6" cm="1" t="str">
        <f t="array" ref="R18">IF(C18="","",ROUND(Q18/1000000,3)&amp;" M€")</f>
        <v>0 M€</v>
      </c>
      <c r="S18" s="15">
        <v>30</v>
      </c>
      <c r="T18" s="6" cm="1" t="str">
        <f t="array" ref="T18">IF(C18="","",SUBSTITUTE(S18,"","")&amp;"%")</f>
        <v>30%</v>
      </c>
      <c r="U18" s="12" cm="1" t="str">
        <f t="array" ref="U18">IF(($N18="")*($P18=""),"",IF(($N18&lt;&gt;"")*($N18&gt;TODAY()-9)*($N18&lt;TODAY()+1)*($P18&lt;&gt;"")*($P18&gt;=TODAY())*($P18&lt;=TODAY()+13),"Semaine passée &amp; à venir",IF(($N18&lt;&gt;"")*($N18&gt;TODAY()-9)*($N18&lt;TODAY()+1),"Semaine passée",IF(($P18&lt;&gt;"")*($P18&gt;=TODAY())*($P18&lt;=TODAY()+13),"À venir","Autre"))))</f>
        <v>Semaine passée</v>
      </c>
      <c r="V18" s="5" cm="1" t="n">
        <f t="array" ref="V18">IF(C18&lt;&gt;"",1,0)</f>
        <v>1</v>
      </c>
      <c r="W18" s="5">
</c>
      <c r="X18" s="5">
</c>
      <c r="Y18" s="5">
</c>
      <c r="Z18" s="5">
</c>
      <c r="AA18" s="5">
</c>
      <c r="AB18" s="5">
</c>
      <c r="AC18" s="5">
</c>
      <c r="AD18" s="5">
</c>
      <c r="AE18" s="5">
</c>
      <c r="AF18" s="5">
</c>
      <c r="AG18" s="5">
</c>
      <c r="AH18" s="5">
</c>
      <c r="AI18" s="5">
</c>
      <c r="AJ18" s="5">
</c>
      <c r="AK18" s="5">
</c>
    </row>
    <row r="19" ht="65.25" customHeight="1">
      <c r="A19" s="6" t="s">
        <v>23</v>
      </c>
      <c r="B19" s="6" t="s">
        <v>76</v>
      </c>
      <c r="C19" s="11" t="s">
        <v>81</v>
      </c>
      <c r="D19" s="11" t="s">
        <v>82</v>
      </c>
      <c r="E19" s="6" t="s">
        <v>53</v>
      </c>
      <c r="F19" s="6" t="s">
        <v>83</v>
      </c>
      <c r="G19" s="6" cm="1" t="str">
        <f t="array" ref="G19">IF(F19="","",SUBSTITUTE(SUBSTITUTE(SUBSTITUTE(SUBSTITUTE(F19,"&lt;li&gt;",CHAR(10)),"&lt;/li&gt;",""),"&lt;br&gt;",CHAR(10)),"&lt;strong&gt;",""))</f>
        <v>&lt;p&gt;RDV physique réalisé, présentation à la nouvelle équipe fonds de fonds non coté, intro auprès de Jehan Batti et Caroline Larousi. Nouvelle piste créée pour équipe Ventes. Prochaine étape : pitch Référencement/Intermédiation pour Romain Andrieu Straton Geodesic FCPI Capital innovation prévu le 28/05/2026.&lt;/p&gt;</v>
      </c>
      <c r="H19" s="6" cm="1" t="str">
        <f t="array" ref="H19">IF(G19="","",SUBSTITUTE(SUBSTITUTE(SUBSTITUTE(SUBSTITUTE(SUBSTITUTE(G19,"&lt;p&gt;",""),"&lt;/p&gt;",""),"&lt;ul&gt;",""),"&lt;/ul&gt;",""),"&lt;/strong&gt;",""))</f>
        <v>RDV physique réalisé, présentation à la nouvelle équipe fonds de fonds non coté, intro auprès de Jehan Batti et Caroline Larousi. Nouvelle piste créée pour équipe Ventes. Prochaine étape : pitch Référencement/Intermédiation pour Romain Andrieu Straton Geodesic FCPI Capital innovation prévu le 28/05/2026.</v>
      </c>
      <c r="I19" s="12" cm="1" t="str">
        <f t="array" ref="I19">IF(C19="","",IF(OR(H19="",H19=0,H19=FALSE),"-",H19))</f>
        <v>RDV physique réalisé, présentation à la nouvelle équipe fonds de fonds non coté, intro auprès de Jehan Batti et Caroline Larousi. Nouvelle piste créée pour équipe Ventes. Prochaine étape : pitch Référencement/Intermédiation pour Romain Andrieu Straton Geodesic FCPI Capital innovation prévu le 28/05/2026.</v>
      </c>
      <c r="J19" s="6" t="s">
        <v>84</v>
      </c>
      <c r="K19" s="6" t="s">
        <v>59</v>
      </c>
      <c r="L19" s="6" cm="1" t="str">
        <f t="array" ref="L19">IF(C19="","",IF(K19="Mort / Plus rien à faire","KO","OK"))</f>
        <v>OK</v>
      </c>
      <c r="M19" s="13">
        <v>46148.71025462963</v>
      </c>
      <c r="N19" s="13" cm="1" t="n">
        <f t="array" ref="N19">IF(OR(C19="",M19="",M19=0),"",M19)</f>
        <v>46148.71025462963</v>
      </c>
      <c r="O19" s="13">
</c>
      <c r="P19" s="13" cm="1" t="str">
        <f t="array" ref="P19">IF(C19="","",IF(OR(O19="",O19=0),"-",O19))</f>
        <v>-</v>
      </c>
      <c r="Q19" s="14">
        <v>0</v>
      </c>
      <c r="R19" s="6" cm="1" t="str">
        <f t="array" ref="R19">IF(C19="","",ROUND(Q19/1000000,3)&amp;" M€")</f>
        <v>0 M€</v>
      </c>
      <c r="S19" s="15">
        <v>30</v>
      </c>
      <c r="T19" s="6" cm="1" t="str">
        <f t="array" ref="T19">IF(C19="","",SUBSTITUTE(S19,"","")&amp;"%")</f>
        <v>30%</v>
      </c>
      <c r="U19" s="12" cm="1" t="str">
        <f t="array" ref="U19">IF(($N19="")*($P19=""),"",IF(($N19&lt;&gt;"")*($N19&gt;TODAY()-9)*($N19&lt;TODAY()+1)*($P19&lt;&gt;"")*($P19&gt;=TODAY())*($P19&lt;=TODAY()+13),"Semaine passée &amp; à venir",IF(($N19&lt;&gt;"")*($N19&gt;TODAY()-9)*($N19&lt;TODAY()+1),"Semaine passée",IF(($P19&lt;&gt;"")*($P19&gt;=TODAY())*($P19&lt;=TODAY()+13),"À venir","Autre"))))</f>
        <v>Autre</v>
      </c>
      <c r="V19" s="5" cm="1" t="n">
        <f t="array" ref="V19">IF(C19&lt;&gt;"",1,0)</f>
        <v>1</v>
      </c>
      <c r="W19" s="5">
</c>
      <c r="X19" s="5">
</c>
      <c r="Y19" s="5">
</c>
      <c r="Z19" s="5">
</c>
      <c r="AA19" s="5">
</c>
      <c r="AB19" s="5">
</c>
      <c r="AC19" s="5">
</c>
      <c r="AD19" s="5">
</c>
      <c r="AE19" s="5">
</c>
      <c r="AF19" s="5">
</c>
      <c r="AG19" s="5">
</c>
      <c r="AH19" s="5">
</c>
      <c r="AI19" s="5">
</c>
      <c r="AJ19" s="5">
</c>
      <c r="AK19" s="5">
</c>
    </row>
    <row r="20" ht="65.25" customHeight="1">
      <c r="A20" s="6" t="s">
        <v>23</v>
      </c>
      <c r="B20" s="6" t="s">
        <v>24</v>
      </c>
      <c r="C20" s="11" t="s">
        <v>85</v>
      </c>
      <c r="D20" s="11" t="s">
        <v>86</v>
      </c>
      <c r="E20" s="6" t="s">
        <v>57</v>
      </c>
      <c r="F20" s="6" t="s">
        <v>87</v>
      </c>
      <c r="G20" s="6" cm="1" t="str">
        <f t="array" ref="G20">IF(F20="","",SUBSTITUTE(SUBSTITUTE(SUBSTITUTE(SUBSTITUTE(F20,"&lt;li&gt;",CHAR(10)),"&lt;/li&gt;",""),"&lt;br&gt;",CHAR(10)),"&lt;strong&gt;",""))</f>
        <v>&lt;p&gt;Prise de contact le 20/04, prospect intéressé par FCPI. Mail de présentation Audacia + Deck FCPI envoyé le 20/04. Pas de retour prospect à date, prochaine étape : attendre feedback suite à l'envoi du deck. Pas d'autres actions prévues pour l'instant. Suivi à poursuivre.&lt;/p&gt;</v>
      </c>
      <c r="H20" s="6" cm="1" t="str">
        <f t="array" ref="H20">IF(G20="","",SUBSTITUTE(SUBSTITUTE(SUBSTITUTE(SUBSTITUTE(SUBSTITUTE(G20,"&lt;p&gt;",""),"&lt;/p&gt;",""),"&lt;ul&gt;",""),"&lt;/ul&gt;",""),"&lt;/strong&gt;",""))</f>
        <v>Prise de contact le 20/04, prospect intéressé par FCPI. Mail de présentation Audacia + Deck FCPI envoyé le 20/04. Pas de retour prospect à date, prochaine étape : attendre feedback suite à l'envoi du deck. Pas d'autres actions prévues pour l'instant. Suivi à poursuivre.</v>
      </c>
      <c r="I20" s="12" cm="1" t="str">
        <f t="array" ref="I20">IF(C20="","",IF(OR(H20="",H20=0,H20=FALSE),"-",H20))</f>
        <v>Prise de contact le 20/04, prospect intéressé par FCPI. Mail de présentation Audacia + Deck FCPI envoyé le 20/04. Pas de retour prospect à date, prochaine étape : attendre feedback suite à l'envoi du deck. Pas d'autres actions prévues pour l'instant. Suivi à poursuivre.</v>
      </c>
      <c r="J20" s="6" t="s">
        <v>88</v>
      </c>
      <c r="K20" s="6" t="s">
        <v>59</v>
      </c>
      <c r="L20" s="6" cm="1" t="str">
        <f t="array" ref="L20">IF(C20="","",IF(K20="Mort / Plus rien à faire","KO","OK"))</f>
        <v>OK</v>
      </c>
      <c r="M20" s="13">
        <v>46133.507731481484</v>
      </c>
      <c r="N20" s="13" cm="1" t="n">
        <f t="array" ref="N20">IF(OR(C20="",M20="",M20=0),"",M20)</f>
        <v>46133.507731481484</v>
      </c>
      <c r="O20" s="13">
</c>
      <c r="P20" s="13" cm="1" t="str">
        <f t="array" ref="P20">IF(C20="","",IF(OR(O20="",O20=0),"-",O20))</f>
        <v>-</v>
      </c>
      <c r="Q20" s="14">
        <v>0</v>
      </c>
      <c r="R20" s="6" cm="1" t="str">
        <f t="array" ref="R20">IF(C20="","",ROUND(Q20/1000000,3)&amp;" M€")</f>
        <v>0 M€</v>
      </c>
      <c r="S20" s="15">
        <v>30</v>
      </c>
      <c r="T20" s="6" cm="1" t="str">
        <f t="array" ref="T20">IF(C20="","",SUBSTITUTE(S20,"","")&amp;"%")</f>
        <v>30%</v>
      </c>
      <c r="U20" s="12" cm="1" t="str">
        <f t="array" ref="U20">IF(($N20="")*($P20=""),"",IF(($N20&lt;&gt;"")*($N20&gt;TODAY()-9)*($N20&lt;TODAY()+1)*($P20&lt;&gt;"")*($P20&gt;=TODAY())*($P20&lt;=TODAY()+13),"Semaine passée &amp; à venir",IF(($N20&lt;&gt;"")*($N20&gt;TODAY()-9)*($N20&lt;TODAY()+1),"Semaine passée",IF(($P20&lt;&gt;"")*($P20&gt;=TODAY())*($P20&lt;=TODAY()+13),"À venir","Autre"))))</f>
        <v>Autre</v>
      </c>
      <c r="V20" s="5" cm="1" t="n">
        <f t="array" ref="V20">IF(C20&lt;&gt;"",1,0)</f>
        <v>1</v>
      </c>
      <c r="W20" s="5">
</c>
      <c r="X20" s="5">
</c>
      <c r="Y20" s="5">
</c>
      <c r="Z20" s="5">
</c>
      <c r="AA20" s="5">
</c>
      <c r="AB20" s="5">
</c>
      <c r="AC20" s="5">
</c>
      <c r="AD20" s="5">
</c>
      <c r="AE20" s="5">
</c>
      <c r="AF20" s="5">
</c>
      <c r="AG20" s="5">
</c>
      <c r="AH20" s="5">
</c>
      <c r="AI20" s="5">
</c>
      <c r="AJ20" s="5">
</c>
      <c r="AK20" s="5">
</c>
    </row>
    <row r="21" ht="65.25" customHeight="1">
      <c r="A21" s="6" t="s">
        <v>23</v>
      </c>
      <c r="B21" s="6" t="s">
        <v>24</v>
      </c>
      <c r="C21" s="11" t="s">
        <v>89</v>
      </c>
      <c r="D21" s="11" t="s">
        <v>90</v>
      </c>
      <c r="E21" s="6" t="s">
        <v>57</v>
      </c>
      <c r="F21" s="6" t="s">
        <v>91</v>
      </c>
      <c r="G21" s="6" cm="1" t="str">
        <f t="array" ref="G21">IF(F21="","",SUBSTITUTE(SUBSTITUTE(SUBSTITUTE(SUBSTITUTE(F21,"&lt;li&gt;",CHAR(10)),"&lt;/li&gt;",""),"&lt;br&gt;",CHAR(10)),"&lt;strong&gt;",""))</f>
        <v>&lt;p&gt;RDV booké 07/05. Visio 11/05 : présentation Audacia, prospect intéressé par Géodésic et deeptech, FCPI à la marge. Prochaines étapes : envoyer Vanguard, présentation FCPI, deck Géodésic, convention distribution vierge, possibilité de pitcher deeptech. Relance envoyée 29/05.&lt;/p&gt;</v>
      </c>
      <c r="H21" s="6" cm="1" t="str">
        <f t="array" ref="H21">IF(G21="","",SUBSTITUTE(SUBSTITUTE(SUBSTITUTE(SUBSTITUTE(SUBSTITUTE(G21,"&lt;p&gt;",""),"&lt;/p&gt;",""),"&lt;ul&gt;",""),"&lt;/ul&gt;",""),"&lt;/strong&gt;",""))</f>
        <v>RDV booké 07/05. Visio 11/05 : présentation Audacia, prospect intéressé par Géodésic et deeptech, FCPI à la marge. Prochaines étapes : envoyer Vanguard, présentation FCPI, deck Géodésic, convention distribution vierge, possibilité de pitcher deeptech. Relance envoyée 29/05.</v>
      </c>
      <c r="I21" s="12" cm="1" t="str">
        <f t="array" ref="I21">IF(C21="","",IF(OR(H21="",H21=0,H21=FALSE),"-",H21))</f>
        <v>RDV booké 07/05. Visio 11/05 : présentation Audacia, prospect intéressé par Géodésic et deeptech, FCPI à la marge. Prochaines étapes : envoyer Vanguard, présentation FCPI, deck Géodésic, convention distribution vierge, possibilité de pitcher deeptech. Relance envoyée 29/05.</v>
      </c>
      <c r="J21" s="6">
</c>
      <c r="K21" s="6" t="s">
        <v>59</v>
      </c>
      <c r="L21" s="6" cm="1" t="str">
        <f t="array" ref="L21">IF(C21="","",IF(K21="Mort / Plus rien à faire","KO","OK"))</f>
        <v>OK</v>
      </c>
      <c r="M21" s="13">
        <v>46171.43224537037</v>
      </c>
      <c r="N21" s="13" cm="1" t="n">
        <f t="array" ref="N21">IF(OR(C21="",M21="",M21=0),"",M21)</f>
        <v>46171.43224537037</v>
      </c>
      <c r="O21" s="13">
</c>
      <c r="P21" s="13" cm="1" t="str">
        <f t="array" ref="P21">IF(C21="","",IF(OR(O21="",O21=0),"-",O21))</f>
        <v>-</v>
      </c>
      <c r="Q21" s="14">
        <v>0</v>
      </c>
      <c r="R21" s="6" cm="1" t="str">
        <f t="array" ref="R21">IF(C21="","",ROUND(Q21/1000000,3)&amp;" M€")</f>
        <v>0 M€</v>
      </c>
      <c r="S21" s="15">
        <v>30</v>
      </c>
      <c r="T21" s="6" cm="1" t="str">
        <f t="array" ref="T21">IF(C21="","",SUBSTITUTE(S21,"","")&amp;"%")</f>
        <v>30%</v>
      </c>
      <c r="U21" s="12" cm="1" t="str">
        <f t="array" ref="U21">IF(($N21="")*($P21=""),"",IF(($N21&lt;&gt;"")*($N21&gt;TODAY()-9)*($N21&lt;TODAY()+1)*($P21&lt;&gt;"")*($P21&gt;=TODAY())*($P21&lt;=TODAY()+13),"Semaine passée &amp; à venir",IF(($N21&lt;&gt;"")*($N21&gt;TODAY()-9)*($N21&lt;TODAY()+1),"Semaine passée",IF(($P21&lt;&gt;"")*($P21&gt;=TODAY())*($P21&lt;=TODAY()+13),"À venir","Autre"))))</f>
        <v>Semaine passée</v>
      </c>
      <c r="V21" s="5" cm="1" t="n">
        <f t="array" ref="V21">IF(C21&lt;&gt;"",1,0)</f>
        <v>1</v>
      </c>
      <c r="W21" s="5">
</c>
      <c r="X21" s="5">
</c>
      <c r="Y21" s="5">
</c>
      <c r="Z21" s="5">
</c>
      <c r="AA21" s="5">
</c>
      <c r="AB21" s="5">
</c>
      <c r="AC21" s="5">
</c>
      <c r="AD21" s="5">
</c>
      <c r="AE21" s="5">
</c>
      <c r="AF21" s="5">
</c>
      <c r="AG21" s="5">
</c>
      <c r="AH21" s="5">
</c>
      <c r="AI21" s="5">
</c>
      <c r="AJ21" s="5">
</c>
      <c r="AK21" s="5">
</c>
    </row>
    <row r="22" ht="65.25" customHeight="1">
      <c r="A22" s="6" t="s">
        <v>23</v>
      </c>
      <c r="B22" s="6" t="s">
        <v>24</v>
      </c>
      <c r="C22" s="11" t="s">
        <v>92</v>
      </c>
      <c r="D22" s="11" t="s">
        <v>93</v>
      </c>
      <c r="E22" s="6" t="s">
        <v>57</v>
      </c>
      <c r="F22" s="6" t="s">
        <v>94</v>
      </c>
      <c r="G22" s="6" cm="1" t="str">
        <f t="array" ref="G22">IF(F22="","",SUBSTITUTE(SUBSTITUTE(SUBSTITUTE(SUBSTITUTE(F22,"&lt;li&gt;",CHAR(10)),"&lt;/li&gt;",""),"&lt;br&gt;",CHAR(10)),"&lt;strong&gt;",""))</f>
        <v>&lt;p&gt;RDV 07/05 avec Éthique et Patrimoine/Equity Valley : présentation offres Private Assets, appétence tickets 100k€, faible intérêt VC pur, focus 150-0 BTE, fiscalité FR non prioritaire. Decks Calderion, Exergon, FCPI envoyés. Prochaine étape&amp;nbsp;: envoyer Straton/Geodesic, vérifier onboarding clients Suisse, relance decks.&lt;/p&gt;</v>
      </c>
      <c r="H22" s="6" cm="1" t="str">
        <f t="array" ref="H22">IF(G22="","",SUBSTITUTE(SUBSTITUTE(SUBSTITUTE(SUBSTITUTE(SUBSTITUTE(G22,"&lt;p&gt;",""),"&lt;/p&gt;",""),"&lt;ul&gt;",""),"&lt;/ul&gt;",""),"&lt;/strong&gt;",""))</f>
        <v>RDV 07/05 avec Éthique et Patrimoine/Equity Valley : présentation offres Private Assets, appétence tickets 100k€, faible intérêt VC pur, focus 150-0 BTE, fiscalité FR non prioritaire. Decks Calderion, Exergon, FCPI envoyés. Prochaine étape&amp;nbsp;: envoyer Straton/Geodesic, vérifier onboarding clients Suisse, relance decks.</v>
      </c>
      <c r="I22" s="12" cm="1" t="str">
        <f t="array" ref="I22">IF(C22="","",IF(OR(H22="",H22=0,H22=FALSE),"-",H22))</f>
        <v>RDV 07/05 avec Éthique et Patrimoine/Equity Valley : présentation offres Private Assets, appétence tickets 100k€, faible intérêt VC pur, focus 150-0 BTE, fiscalité FR non prioritaire. Decks Calderion, Exergon, FCPI envoyés. Prochaine étape&amp;nbsp;: envoyer Straton/Geodesic, vérifier onboarding clients Suisse, relance decks.</v>
      </c>
      <c r="J22" s="6">
</c>
      <c r="K22" s="6" t="s">
        <v>59</v>
      </c>
      <c r="L22" s="6" cm="1" t="str">
        <f t="array" ref="L22">IF(C22="","",IF(K22="Mort / Plus rien à faire","KO","OK"))</f>
        <v>OK</v>
      </c>
      <c r="M22" s="13">
        <v>46161.75399305556</v>
      </c>
      <c r="N22" s="13" cm="1" t="n">
        <f t="array" ref="N22">IF(OR(C22="",M22="",M22=0),"",M22)</f>
        <v>46161.75399305556</v>
      </c>
      <c r="O22" s="13">
</c>
      <c r="P22" s="13" cm="1" t="str">
        <f t="array" ref="P22">IF(C22="","",IF(OR(O22="",O22=0),"-",O22))</f>
        <v>-</v>
      </c>
      <c r="Q22" s="14">
        <v>0</v>
      </c>
      <c r="R22" s="6" cm="1" t="str">
        <f t="array" ref="R22">IF(C22="","",ROUND(Q22/1000000,3)&amp;" M€")</f>
        <v>0 M€</v>
      </c>
      <c r="S22" s="15">
        <v>30</v>
      </c>
      <c r="T22" s="6" cm="1" t="str">
        <f t="array" ref="T22">IF(C22="","",SUBSTITUTE(S22,"","")&amp;"%")</f>
        <v>30%</v>
      </c>
      <c r="U22" s="12" cm="1" t="str">
        <f t="array" ref="U22">IF(($N22="")*($P22=""),"",IF(($N22&lt;&gt;"")*($N22&gt;TODAY()-9)*($N22&lt;TODAY()+1)*($P22&lt;&gt;"")*($P22&gt;=TODAY())*($P22&lt;=TODAY()+13),"Semaine passée &amp; à venir",IF(($N22&lt;&gt;"")*($N22&gt;TODAY()-9)*($N22&lt;TODAY()+1),"Semaine passée",IF(($P22&lt;&gt;"")*($P22&gt;=TODAY())*($P22&lt;=TODAY()+13),"À venir","Autre"))))</f>
        <v>Autre</v>
      </c>
      <c r="V22" s="5" cm="1" t="n">
        <f t="array" ref="V22">IF(C22&lt;&gt;"",1,0)</f>
        <v>1</v>
      </c>
      <c r="W22" s="5">
</c>
      <c r="X22" s="5">
</c>
      <c r="Y22" s="5">
</c>
      <c r="Z22" s="5">
</c>
      <c r="AA22" s="5">
</c>
      <c r="AB22" s="5">
</c>
      <c r="AC22" s="5">
</c>
      <c r="AD22" s="5">
</c>
      <c r="AE22" s="5">
</c>
      <c r="AF22" s="5">
</c>
      <c r="AG22" s="5">
</c>
      <c r="AH22" s="5">
</c>
      <c r="AI22" s="5">
</c>
      <c r="AJ22" s="5">
</c>
      <c r="AK22" s="5">
</c>
    </row>
    <row r="23" ht="65.25" customHeight="1">
      <c r="A23" s="6" t="s">
        <v>23</v>
      </c>
      <c r="B23" s="6" t="s">
        <v>95</v>
      </c>
      <c r="C23" s="11" t="s">
        <v>96</v>
      </c>
      <c r="D23" s="11" t="s">
        <v>97</v>
      </c>
      <c r="E23" s="6" t="s">
        <v>57</v>
      </c>
      <c r="F23" s="6" t="s">
        <v>98</v>
      </c>
      <c r="G23" s="6" cm="1" t="str">
        <f t="array" ref="G23">IF(F23="","",SUBSTITUTE(SUBSTITUTE(SUBSTITUTE(SUBSTITUTE(F23,"&lt;li&gt;",CHAR(10)),"&lt;/li&gt;",""),"&lt;br&gt;",CHAR(10)),"&lt;strong&gt;",""))</f>
        <v>&lt;p&gt;04/05/26: prise de contact par TS, prospect montre de l'intérêt, rendez-vous en cours de programmation. Nouvelle piste créée pour équipe Ventes. Pas d'autres actions ou retours prospect mentionnés. Prochaine étape : fixer le rendez-vous.&lt;/p&gt;</v>
      </c>
      <c r="H23" s="6" cm="1" t="str">
        <f t="array" ref="H23">IF(G23="","",SUBSTITUTE(SUBSTITUTE(SUBSTITUTE(SUBSTITUTE(SUBSTITUTE(G23,"&lt;p&gt;",""),"&lt;/p&gt;",""),"&lt;ul&gt;",""),"&lt;/ul&gt;",""),"&lt;/strong&gt;",""))</f>
        <v>04/05/26: prise de contact par TS, prospect montre de l'intérêt, rendez-vous en cours de programmation. Nouvelle piste créée pour équipe Ventes. Pas d'autres actions ou retours prospect mentionnés. Prochaine étape : fixer le rendez-vous.</v>
      </c>
      <c r="I23" s="12" cm="1" t="str">
        <f t="array" ref="I23">IF(C23="","",IF(OR(H23="",H23=0,H23=FALSE),"-",H23))</f>
        <v>04/05/26: prise de contact par TS, prospect montre de l'intérêt, rendez-vous en cours de programmation. Nouvelle piste créée pour équipe Ventes. Pas d'autres actions ou retours prospect mentionnés. Prochaine étape : fixer le rendez-vous.</v>
      </c>
      <c r="J23" s="6">
</c>
      <c r="K23" s="6" t="s">
        <v>59</v>
      </c>
      <c r="L23" s="6" cm="1" t="str">
        <f t="array" ref="L23">IF(C23="","",IF(K23="Mort / Plus rien à faire","KO","OK"))</f>
        <v>OK</v>
      </c>
      <c r="M23" s="13">
        <v>46146.43329861111</v>
      </c>
      <c r="N23" s="13" cm="1" t="n">
        <f t="array" ref="N23">IF(OR(C23="",M23="",M23=0),"",M23)</f>
        <v>46146.43329861111</v>
      </c>
      <c r="O23" s="13">
</c>
      <c r="P23" s="13" cm="1" t="str">
        <f t="array" ref="P23">IF(C23="","",IF(OR(O23="",O23=0),"-",O23))</f>
        <v>-</v>
      </c>
      <c r="Q23" s="14">
        <v>0</v>
      </c>
      <c r="R23" s="6" cm="1" t="str">
        <f t="array" ref="R23">IF(C23="","",ROUND(Q23/1000000,3)&amp;" M€")</f>
        <v>0 M€</v>
      </c>
      <c r="S23" s="15">
        <v>30</v>
      </c>
      <c r="T23" s="6" cm="1" t="str">
        <f t="array" ref="T23">IF(C23="","",SUBSTITUTE(S23,"","")&amp;"%")</f>
        <v>30%</v>
      </c>
      <c r="U23" s="12" cm="1" t="str">
        <f t="array" ref="U23">IF(($N23="")*($P23=""),"",IF(($N23&lt;&gt;"")*($N23&gt;TODAY()-9)*($N23&lt;TODAY()+1)*($P23&lt;&gt;"")*($P23&gt;=TODAY())*($P23&lt;=TODAY()+13),"Semaine passée &amp; à venir",IF(($N23&lt;&gt;"")*($N23&gt;TODAY()-9)*($N23&lt;TODAY()+1),"Semaine passée",IF(($P23&lt;&gt;"")*($P23&gt;=TODAY())*($P23&lt;=TODAY()+13),"À venir","Autre"))))</f>
        <v>Autre</v>
      </c>
      <c r="V23" s="5" cm="1" t="n">
        <f t="array" ref="V23">IF(C23&lt;&gt;"",1,0)</f>
        <v>1</v>
      </c>
      <c r="W23" s="5">
</c>
      <c r="X23" s="5">
</c>
      <c r="Y23" s="5">
</c>
      <c r="Z23" s="5">
</c>
      <c r="AA23" s="5">
</c>
      <c r="AB23" s="5">
</c>
      <c r="AC23" s="5">
</c>
      <c r="AD23" s="5">
</c>
      <c r="AE23" s="5">
</c>
      <c r="AF23" s="5">
</c>
      <c r="AG23" s="5">
</c>
      <c r="AH23" s="5">
</c>
      <c r="AI23" s="5">
</c>
      <c r="AJ23" s="5">
</c>
      <c r="AK23" s="5">
</c>
    </row>
    <row r="24" ht="65.25" customHeight="1">
      <c r="A24" s="6" t="s">
        <v>23</v>
      </c>
      <c r="B24" s="6" t="s">
        <v>24</v>
      </c>
      <c r="C24" s="11" t="s">
        <v>99</v>
      </c>
      <c r="D24" s="11" t="s">
        <v>100</v>
      </c>
      <c r="E24" s="6" t="s">
        <v>57</v>
      </c>
      <c r="F24" s="6" t="s">
        <v>101</v>
      </c>
      <c r="G24" s="6" cm="1" t="str">
        <f t="array" ref="G24">IF(F24="","",SUBSTITUTE(SUBSTITUTE(SUBSTITUTE(SUBSTITUTE(F24,"&lt;li&gt;",CHAR(10)),"&lt;/li&gt;",""),"&lt;br&gt;",CHAR(10)),"&lt;strong&gt;",""))</f>
        <v>&lt;p&gt;Intérêt prospect pour FCPI, documentation transmise. Beaucoup de trésorerie d'entreprise, peu de non côté à cause de la durée, société en début d'activité. Pas d'activité complémentaire ni prochaine étape identifiée à ce stade. Suivi à renforcer selon retour sur FCPI.&lt;/p&gt;</v>
      </c>
      <c r="H24" s="6" cm="1" t="str">
        <f t="array" ref="H24">IF(G24="","",SUBSTITUTE(SUBSTITUTE(SUBSTITUTE(SUBSTITUTE(SUBSTITUTE(G24,"&lt;p&gt;",""),"&lt;/p&gt;",""),"&lt;ul&gt;",""),"&lt;/ul&gt;",""),"&lt;/strong&gt;",""))</f>
        <v>Intérêt prospect pour FCPI, documentation transmise. Beaucoup de trésorerie d'entreprise, peu de non côté à cause de la durée, société en début d'activité. Pas d'activité complémentaire ni prochaine étape identifiée à ce stade. Suivi à renforcer selon retour sur FCPI.</v>
      </c>
      <c r="I24" s="12" cm="1" t="str">
        <f t="array" ref="I24">IF(C24="","",IF(OR(H24="",H24=0,H24=FALSE),"-",H24))</f>
        <v>Intérêt prospect pour FCPI, documentation transmise. Beaucoup de trésorerie d'entreprise, peu de non côté à cause de la durée, société en début d'activité. Pas d'activité complémentaire ni prochaine étape identifiée à ce stade. Suivi à renforcer selon retour sur FCPI.</v>
      </c>
      <c r="J24" s="6">
</c>
      <c r="K24" s="6" t="s">
        <v>59</v>
      </c>
      <c r="L24" s="6" cm="1" t="str">
        <f t="array" ref="L24">IF(C24="","",IF(K24="Mort / Plus rien à faire","KO","OK"))</f>
        <v>OK</v>
      </c>
      <c r="M24" s="13">
        <v>46140.44636574074</v>
      </c>
      <c r="N24" s="13" cm="1" t="n">
        <f t="array" ref="N24">IF(OR(C24="",M24="",M24=0),"",M24)</f>
        <v>46140.44636574074</v>
      </c>
      <c r="O24" s="13">
</c>
      <c r="P24" s="13" cm="1" t="str">
        <f t="array" ref="P24">IF(C24="","",IF(OR(O24="",O24=0),"-",O24))</f>
        <v>-</v>
      </c>
      <c r="Q24" s="14">
        <v>0</v>
      </c>
      <c r="R24" s="6" cm="1" t="str">
        <f t="array" ref="R24">IF(C24="","",ROUND(Q24/1000000,3)&amp;" M€")</f>
        <v>0 M€</v>
      </c>
      <c r="S24" s="15">
        <v>30</v>
      </c>
      <c r="T24" s="6" cm="1" t="str">
        <f t="array" ref="T24">IF(C24="","",SUBSTITUTE(S24,"","")&amp;"%")</f>
        <v>30%</v>
      </c>
      <c r="U24" s="12" cm="1" t="str">
        <f t="array" ref="U24">IF(($N24="")*($P24=""),"",IF(($N24&lt;&gt;"")*($N24&gt;TODAY()-9)*($N24&lt;TODAY()+1)*($P24&lt;&gt;"")*($P24&gt;=TODAY())*($P24&lt;=TODAY()+13),"Semaine passée &amp; à venir",IF(($N24&lt;&gt;"")*($N24&gt;TODAY()-9)*($N24&lt;TODAY()+1),"Semaine passée",IF(($P24&lt;&gt;"")*($P24&gt;=TODAY())*($P24&lt;=TODAY()+13),"À venir","Autre"))))</f>
        <v>Autre</v>
      </c>
      <c r="V24" s="5" cm="1" t="n">
        <f t="array" ref="V24">IF(C24&lt;&gt;"",1,0)</f>
        <v>1</v>
      </c>
      <c r="W24" s="5">
</c>
      <c r="X24" s="5">
</c>
      <c r="Y24" s="5">
</c>
      <c r="Z24" s="5">
</c>
      <c r="AA24" s="5">
</c>
      <c r="AB24" s="5">
</c>
      <c r="AC24" s="5">
</c>
      <c r="AD24" s="5">
</c>
      <c r="AE24" s="5">
</c>
      <c r="AF24" s="5">
</c>
      <c r="AG24" s="5">
</c>
      <c r="AH24" s="5">
</c>
      <c r="AI24" s="5">
</c>
      <c r="AJ24" s="5">
</c>
      <c r="AK24" s="5">
</c>
    </row>
    <row r="25" ht="65.25" customHeight="1">
      <c r="A25" s="6" t="s">
        <v>23</v>
      </c>
      <c r="B25" s="6" t="s">
        <v>24</v>
      </c>
      <c r="C25" s="11" t="s">
        <v>102</v>
      </c>
      <c r="D25" s="11" t="s">
        <v>103</v>
      </c>
      <c r="E25" s="6" t="s">
        <v>57</v>
      </c>
      <c r="F25" s="6" t="s">
        <v>104</v>
      </c>
      <c r="G25" s="6" cm="1" t="str">
        <f t="array" ref="G25">IF(F25="","",SUBSTITUTE(SUBSTITUTE(SUBSTITUTE(SUBSTITUTE(F25,"&lt;li&gt;",CHAR(10)),"&lt;/li&gt;",""),"&lt;br&gt;",CHAR(10)),"&lt;strong&gt;",""))</f>
        <v>&lt;p&gt;Convention de distribution envoyée le 01/06/2026 + liste des documents à transmettre. Attente retour du prospect avec les documents demandés. Pas d'autres actions ou retours notables dans les échanges récents. Prochaine étape : réception des documents pour finaliser la convention.&lt;/p&gt;</v>
      </c>
      <c r="H25" s="6" cm="1" t="str">
        <f t="array" ref="H25">IF(G25="","",SUBSTITUTE(SUBSTITUTE(SUBSTITUTE(SUBSTITUTE(SUBSTITUTE(G25,"&lt;p&gt;",""),"&lt;/p&gt;",""),"&lt;ul&gt;",""),"&lt;/ul&gt;",""),"&lt;/strong&gt;",""))</f>
        <v>Convention de distribution envoyée le 01/06/2026 + liste des documents à transmettre. Attente retour du prospect avec les documents demandés. Pas d'autres actions ou retours notables dans les échanges récents. Prochaine étape : réception des documents pour finaliser la convention.</v>
      </c>
      <c r="I25" s="12" cm="1" t="str">
        <f t="array" ref="I25">IF(C25="","",IF(OR(H25="",H25=0,H25=FALSE),"-",H25))</f>
        <v>Convention de distribution envoyée le 01/06/2026 + liste des documents à transmettre. Attente retour du prospect avec les documents demandés. Pas d'autres actions ou retours notables dans les échanges récents. Prochaine étape : réception des documents pour finaliser la convention.</v>
      </c>
      <c r="J25" s="6">
</c>
      <c r="K25" s="6" t="s">
        <v>59</v>
      </c>
      <c r="L25" s="6" cm="1" t="str">
        <f t="array" ref="L25">IF(C25="","",IF(K25="Mort / Plus rien à faire","KO","OK"))</f>
        <v>OK</v>
      </c>
      <c r="M25" s="13">
        <v>46174.75150462963</v>
      </c>
      <c r="N25" s="13" cm="1" t="n">
        <f t="array" ref="N25">IF(OR(C25="",M25="",M25=0),"",M25)</f>
        <v>46174.75150462963</v>
      </c>
      <c r="O25" s="13">
</c>
      <c r="P25" s="13" cm="1" t="str">
        <f t="array" ref="P25">IF(C25="","",IF(OR(O25="",O25=0),"-",O25))</f>
        <v>-</v>
      </c>
      <c r="Q25" s="14">
        <v>0</v>
      </c>
      <c r="R25" s="6" cm="1" t="str">
        <f t="array" ref="R25">IF(C25="","",ROUND(Q25/1000000,3)&amp;" M€")</f>
        <v>0 M€</v>
      </c>
      <c r="S25" s="15">
        <v>30</v>
      </c>
      <c r="T25" s="6" cm="1" t="str">
        <f t="array" ref="T25">IF(C25="","",SUBSTITUTE(S25,"","")&amp;"%")</f>
        <v>30%</v>
      </c>
      <c r="U25" s="12" cm="1" t="str">
        <f t="array" ref="U25">IF(($N25="")*($P25=""),"",IF(($N25&lt;&gt;"")*($N25&gt;TODAY()-9)*($N25&lt;TODAY()+1)*($P25&lt;&gt;"")*($P25&gt;=TODAY())*($P25&lt;=TODAY()+13),"Semaine passée &amp; à venir",IF(($N25&lt;&gt;"")*($N25&gt;TODAY()-9)*($N25&lt;TODAY()+1),"Semaine passée",IF(($P25&lt;&gt;"")*($P25&gt;=TODAY())*($P25&lt;=TODAY()+13),"À venir","Autre"))))</f>
        <v>Semaine passée</v>
      </c>
      <c r="V25" s="5" cm="1" t="n">
        <f t="array" ref="V25">IF(C25&lt;&gt;"",1,0)</f>
        <v>1</v>
      </c>
      <c r="W25" s="5">
</c>
      <c r="X25" s="5">
</c>
      <c r="Y25" s="5">
</c>
      <c r="Z25" s="5">
</c>
      <c r="AA25" s="5">
</c>
      <c r="AB25" s="5">
</c>
      <c r="AC25" s="5">
</c>
      <c r="AD25" s="5">
</c>
      <c r="AE25" s="5">
</c>
      <c r="AF25" s="5">
</c>
      <c r="AG25" s="5">
</c>
      <c r="AH25" s="5">
</c>
      <c r="AI25" s="5">
</c>
      <c r="AJ25" s="5">
</c>
      <c r="AK25" s="5">
</c>
    </row>
    <row r="26" ht="65.25" customHeight="1">
      <c r="A26" s="6" t="s">
        <v>23</v>
      </c>
      <c r="B26" s="6" t="s">
        <v>24</v>
      </c>
      <c r="C26" s="11" t="s">
        <v>105</v>
      </c>
      <c r="D26" s="11" t="s">
        <v>106</v>
      </c>
      <c r="E26" s="6" t="s">
        <v>57</v>
      </c>
      <c r="F26" s="6" t="s">
        <v>107</v>
      </c>
      <c r="G26" s="6" cm="1" t="str">
        <f t="array" ref="G26">IF(F26="","",SUBSTITUTE(SUBSTITUTE(SUBSTITUTE(SUBSTITUTE(F26,"&lt;li&gt;",CHAR(10)),"&lt;/li&gt;",""),"&lt;br&gt;",CHAR(10)),"&lt;strong&gt;",""))</f>
        <v>&lt;p&gt;Nouvelle piste créée pour équipe Ventes. R1 programmé le 9 juin avec Cédric et Romain. Enrichissement lead tenté, pas de données société trouvées via email. Pas d'autres activités ou retours prospects mentionnés. Prochaine étape : R1 le 9 juin.&lt;/p&gt;</v>
      </c>
      <c r="H26" s="6" cm="1" t="str">
        <f t="array" ref="H26">IF(G26="","",SUBSTITUTE(SUBSTITUTE(SUBSTITUTE(SUBSTITUTE(SUBSTITUTE(G26,"&lt;p&gt;",""),"&lt;/p&gt;",""),"&lt;ul&gt;",""),"&lt;/ul&gt;",""),"&lt;/strong&gt;",""))</f>
        <v>Nouvelle piste créée pour équipe Ventes. R1 programmé le 9 juin avec Cédric et Romain. Enrichissement lead tenté, pas de données société trouvées via email. Pas d'autres activités ou retours prospects mentionnés. Prochaine étape : R1 le 9 juin.</v>
      </c>
      <c r="I26" s="12" cm="1" t="str">
        <f t="array" ref="I26">IF(C26="","",IF(OR(H26="",H26=0,H26=FALSE),"-",H26))</f>
        <v>Nouvelle piste créée pour équipe Ventes. R1 programmé le 9 juin avec Cédric et Romain. Enrichissement lead tenté, pas de données société trouvées via email. Pas d'autres activités ou retours prospects mentionnés. Prochaine étape : R1 le 9 juin.</v>
      </c>
      <c r="J26" s="6" t="s">
        <v>108</v>
      </c>
      <c r="K26" s="6" t="s">
        <v>59</v>
      </c>
      <c r="L26" s="6" cm="1" t="str">
        <f t="array" ref="L26">IF(C26="","",IF(K26="Mort / Plus rien à faire","KO","OK"))</f>
        <v>OK</v>
      </c>
      <c r="M26" s="13">
        <v>46141.73658564815</v>
      </c>
      <c r="N26" s="13" cm="1" t="n">
        <f t="array" ref="N26">IF(OR(C26="",M26="",M26=0),"",M26)</f>
        <v>46141.73658564815</v>
      </c>
      <c r="O26" s="13">
        <v>46182.708333333336</v>
      </c>
      <c r="P26" s="13" cm="1" t="n">
        <f t="array" ref="P26">IF(C26="","",IF(OR(O26="",O26=0),"-",O26))</f>
        <v>46182.708333333336</v>
      </c>
      <c r="Q26" s="14">
        <v>0</v>
      </c>
      <c r="R26" s="6" cm="1" t="str">
        <f t="array" ref="R26">IF(C26="","",ROUND(Q26/1000000,3)&amp;" M€")</f>
        <v>0 M€</v>
      </c>
      <c r="S26" s="15">
        <v>30</v>
      </c>
      <c r="T26" s="6" cm="1" t="str">
        <f t="array" ref="T26">IF(C26="","",SUBSTITUTE(S26,"","")&amp;"%")</f>
        <v>30%</v>
      </c>
      <c r="U26" s="12" cm="1" t="str">
        <f t="array" ref="U26">IF(($N26="")*($P26=""),"",IF(($N26&lt;&gt;"")*($N26&gt;TODAY()-9)*($N26&lt;TODAY()+1)*($P26&lt;&gt;"")*($P26&gt;=TODAY())*($P26&lt;=TODAY()+13),"Semaine passée &amp; à venir",IF(($N26&lt;&gt;"")*($N26&gt;TODAY()-9)*($N26&lt;TODAY()+1),"Semaine passée",IF(($P26&lt;&gt;"")*($P26&gt;=TODAY())*($P26&lt;=TODAY()+13),"À venir","Autre"))))</f>
        <v>À venir</v>
      </c>
      <c r="V26" s="5" cm="1" t="n">
        <f t="array" ref="V26">IF(C26&lt;&gt;"",1,0)</f>
        <v>1</v>
      </c>
      <c r="W26" s="5">
</c>
      <c r="X26" s="5">
</c>
      <c r="Y26" s="5">
</c>
      <c r="Z26" s="5">
</c>
      <c r="AA26" s="5">
</c>
      <c r="AB26" s="5">
</c>
      <c r="AC26" s="5">
</c>
      <c r="AD26" s="5">
</c>
      <c r="AE26" s="5">
</c>
      <c r="AF26" s="5">
</c>
      <c r="AG26" s="5">
</c>
      <c r="AH26" s="5">
</c>
      <c r="AI26" s="5">
</c>
      <c r="AJ26" s="5">
</c>
      <c r="AK26" s="5">
</c>
    </row>
    <row r="27" ht="65.25" customHeight="1">
      <c r="A27" s="6" t="s">
        <v>23</v>
      </c>
      <c r="B27" s="6" t="s">
        <v>24</v>
      </c>
      <c r="C27" s="11" t="s">
        <v>109</v>
      </c>
      <c r="D27" s="11" t="s">
        <v>110</v>
      </c>
      <c r="E27" s="6" t="s">
        <v>57</v>
      </c>
      <c r="F27" s="6" t="s">
        <v>111</v>
      </c>
      <c r="G27" s="6" cm="1" t="str">
        <f t="array" ref="G27">IF(F27="","",SUBSTITUTE(SUBSTITUTE(SUBSTITUTE(SUBSTITUTE(F27,"&lt;li&gt;",CHAR(10)),"&lt;/li&gt;",""),"&lt;br&gt;",CHAR(10)),"&lt;strong&gt;",""))</f>
        <v>&lt;p&gt;Aucune activité menée sur le prospect. Un nouvelle piste a été créée pour l'équipe "Ventes". Aucun échange, action ou retour enregistré à ce jour. Pas de prochaines étapes identifiées ni de conclusion ou retour prospect sur les fonds présentés.&lt;/p&gt;</v>
      </c>
      <c r="H27" s="6" cm="1" t="str">
        <f t="array" ref="H27">IF(G27="","",SUBSTITUTE(SUBSTITUTE(SUBSTITUTE(SUBSTITUTE(SUBSTITUTE(G27,"&lt;p&gt;",""),"&lt;/p&gt;",""),"&lt;ul&gt;",""),"&lt;/ul&gt;",""),"&lt;/strong&gt;",""))</f>
        <v>Aucune activité menée sur le prospect. Un nouvelle piste a été créée pour l'équipe "Ventes". Aucun échange, action ou retour enregistré à ce jour. Pas de prochaines étapes identifiées ni de conclusion ou retour prospect sur les fonds présentés.</v>
      </c>
      <c r="I27" s="12" cm="1" t="str">
        <f t="array" ref="I27">IF(C27="","",IF(OR(H27="",H27=0,H27=FALSE),"-",H27))</f>
        <v>Aucune activité menée sur le prospect. Un nouvelle piste a été créée pour l'équipe "Ventes". Aucun échange, action ou retour enregistré à ce jour. Pas de prochaines étapes identifiées ni de conclusion ou retour prospect sur les fonds présentés.</v>
      </c>
      <c r="J27" s="6">
</c>
      <c r="K27" s="6" t="s">
        <v>59</v>
      </c>
      <c r="L27" s="6" cm="1" t="str">
        <f t="array" ref="L27">IF(C27="","",IF(K27="Mort / Plus rien à faire","KO","OK"))</f>
        <v>OK</v>
      </c>
      <c r="M27" s="13">
        <v>46149.62237268518</v>
      </c>
      <c r="N27" s="13" cm="1" t="n">
        <f t="array" ref="N27">IF(OR(C27="",M27="",M27=0),"",M27)</f>
        <v>46149.62237268518</v>
      </c>
      <c r="O27" s="13">
</c>
      <c r="P27" s="13" cm="1" t="str">
        <f t="array" ref="P27">IF(C27="","",IF(OR(O27="",O27=0),"-",O27))</f>
        <v>-</v>
      </c>
      <c r="Q27" s="14">
        <v>0</v>
      </c>
      <c r="R27" s="6" cm="1" t="str">
        <f t="array" ref="R27">IF(C27="","",ROUND(Q27/1000000,3)&amp;" M€")</f>
        <v>0 M€</v>
      </c>
      <c r="S27" s="15">
        <v>30</v>
      </c>
      <c r="T27" s="6" cm="1" t="str">
        <f t="array" ref="T27">IF(C27="","",SUBSTITUTE(S27,"","")&amp;"%")</f>
        <v>30%</v>
      </c>
      <c r="U27" s="12" cm="1" t="str">
        <f t="array" ref="U27">IF(($N27="")*($P27=""),"",IF(($N27&lt;&gt;"")*($N27&gt;TODAY()-9)*($N27&lt;TODAY()+1)*($P27&lt;&gt;"")*($P27&gt;=TODAY())*($P27&lt;=TODAY()+13),"Semaine passée &amp; à venir",IF(($N27&lt;&gt;"")*($N27&gt;TODAY()-9)*($N27&lt;TODAY()+1),"Semaine passée",IF(($P27&lt;&gt;"")*($P27&gt;=TODAY())*($P27&lt;=TODAY()+13),"À venir","Autre"))))</f>
        <v>Autre</v>
      </c>
      <c r="V27" s="5" cm="1" t="n">
        <f t="array" ref="V27">IF(C27&lt;&gt;"",1,0)</f>
        <v>1</v>
      </c>
      <c r="W27" s="5">
</c>
      <c r="X27" s="5">
</c>
      <c r="Y27" s="5">
</c>
      <c r="Z27" s="5">
</c>
      <c r="AA27" s="5">
</c>
      <c r="AB27" s="5">
</c>
      <c r="AC27" s="5">
</c>
      <c r="AD27" s="5">
</c>
      <c r="AE27" s="5">
</c>
      <c r="AF27" s="5">
</c>
      <c r="AG27" s="5">
</c>
      <c r="AH27" s="5">
</c>
      <c r="AI27" s="5">
</c>
      <c r="AJ27" s="5">
</c>
      <c r="AK27" s="5">
</c>
    </row>
    <row r="28" ht="65.25" customHeight="1">
      <c r="A28" s="6" t="s">
        <v>23</v>
      </c>
      <c r="B28" s="6" t="s">
        <v>24</v>
      </c>
      <c r="C28" s="11" t="s">
        <v>112</v>
      </c>
      <c r="D28" s="11" t="s">
        <v>113</v>
      </c>
      <c r="E28" s="6" t="s">
        <v>57</v>
      </c>
      <c r="F28" s="6" t="s">
        <v>114</v>
      </c>
      <c r="G28" s="6" cm="1" t="str">
        <f t="array" ref="G28">IF(F28="","",SUBSTITUTE(SUBSTITUTE(SUBSTITUTE(SUBSTITUTE(F28,"&lt;li&gt;",CHAR(10)),"&lt;/li&gt;",""),"&lt;br&gt;",CHAR(10)),"&lt;strong&gt;",""))</f>
        <v>&lt;p&gt;Rdv prévu 19/06 avec Franck Lortilloir, focus contrat assurance vie, fonds interne dédié, contraintes sur compartiment C et capital call, alternative UC via Quintet. Théo Salerno aussi en rdv 19/06. Proposition petit déjeuner quantique. Suivi : contact clients français à Luxembourg, mise en relation pure.&lt;/p&gt;</v>
      </c>
      <c r="H28" s="6" cm="1" t="str">
        <f t="array" ref="H28">IF(G28="","",SUBSTITUTE(SUBSTITUTE(SUBSTITUTE(SUBSTITUTE(SUBSTITUTE(G28,"&lt;p&gt;",""),"&lt;/p&gt;",""),"&lt;ul&gt;",""),"&lt;/ul&gt;",""),"&lt;/strong&gt;",""))</f>
        <v>Rdv prévu 19/06 avec Franck Lortilloir, focus contrat assurance vie, fonds interne dédié, contraintes sur compartiment C et capital call, alternative UC via Quintet. Théo Salerno aussi en rdv 19/06. Proposition petit déjeuner quantique. Suivi : contact clients français à Luxembourg, mise en relation pure.</v>
      </c>
      <c r="I28" s="12" cm="1" t="str">
        <f t="array" ref="I28">IF(C28="","",IF(OR(H28="",H28=0,H28=FALSE),"-",H28))</f>
        <v>Rdv prévu 19/06 avec Franck Lortilloir, focus contrat assurance vie, fonds interne dédié, contraintes sur compartiment C et capital call, alternative UC via Quintet. Théo Salerno aussi en rdv 19/06. Proposition petit déjeuner quantique. Suivi : contact clients français à Luxembourg, mise en relation pure.</v>
      </c>
      <c r="J28" s="6" t="s">
        <v>115</v>
      </c>
      <c r="K28" s="6" t="s">
        <v>59</v>
      </c>
      <c r="L28" s="6" cm="1" t="str">
        <f t="array" ref="L28">IF(C28="","",IF(K28="Mort / Plus rien à faire","KO","OK"))</f>
        <v>OK</v>
      </c>
      <c r="M28" s="13">
        <v>46161.788668981484</v>
      </c>
      <c r="N28" s="13" cm="1" t="n">
        <f t="array" ref="N28">IF(OR(C28="",M28="",M28=0),"",M28)</f>
        <v>46161.788668981484</v>
      </c>
      <c r="O28" s="13">
        <v>46178.083333333336</v>
      </c>
      <c r="P28" s="13" cm="1" t="n">
        <f t="array" ref="P28">IF(C28="","",IF(OR(O28="",O28=0),"-",O28))</f>
        <v>46178.083333333336</v>
      </c>
      <c r="Q28" s="14">
        <v>0</v>
      </c>
      <c r="R28" s="6" cm="1" t="str">
        <f t="array" ref="R28">IF(C28="","",ROUND(Q28/1000000,3)&amp;" M€")</f>
        <v>0 M€</v>
      </c>
      <c r="S28" s="15">
        <v>30</v>
      </c>
      <c r="T28" s="6" cm="1" t="str">
        <f t="array" ref="T28">IF(C28="","",SUBSTITUTE(S28,"","")&amp;"%")</f>
        <v>30%</v>
      </c>
      <c r="U28" s="12" cm="1" t="str">
        <f t="array" ref="U28">IF(($N28="")*($P28=""),"",IF(($N28&lt;&gt;"")*($N28&gt;TODAY()-9)*($N28&lt;TODAY()+1)*($P28&lt;&gt;"")*($P28&gt;=TODAY())*($P28&lt;=TODAY()+13),"Semaine passée &amp; à venir",IF(($N28&lt;&gt;"")*($N28&gt;TODAY()-9)*($N28&lt;TODAY()+1),"Semaine passée",IF(($P28&lt;&gt;"")*($P28&gt;=TODAY())*($P28&lt;=TODAY()+13),"À venir","Autre"))))</f>
        <v>À venir</v>
      </c>
      <c r="V28" s="5" cm="1" t="n">
        <f t="array" ref="V28">IF(C28&lt;&gt;"",1,0)</f>
        <v>1</v>
      </c>
      <c r="W28" s="5">
</c>
      <c r="X28" s="5">
</c>
      <c r="Y28" s="5">
</c>
      <c r="Z28" s="5">
</c>
      <c r="AA28" s="5">
</c>
      <c r="AB28" s="5">
</c>
      <c r="AC28" s="5">
</c>
      <c r="AD28" s="5">
</c>
      <c r="AE28" s="5">
</c>
      <c r="AF28" s="5">
</c>
      <c r="AG28" s="5">
</c>
      <c r="AH28" s="5">
</c>
      <c r="AI28" s="5">
</c>
      <c r="AJ28" s="5">
</c>
      <c r="AK28" s="5">
</c>
    </row>
    <row r="29" ht="65.25" customHeight="1">
      <c r="A29" s="6" t="s">
        <v>23</v>
      </c>
      <c r="B29" s="6">
</c>
      <c r="C29" s="11" t="s">
        <v>116</v>
      </c>
      <c r="D29" s="11" t="s">
        <v>117</v>
      </c>
      <c r="E29" s="6" t="s">
        <v>57</v>
      </c>
      <c r="F29" s="6" t="s">
        <v>118</v>
      </c>
      <c r="G29" s="6" cm="1" t="str">
        <f t="array" ref="G29">IF(F29="","",SUBSTITUTE(SUBSTITUTE(SUBSTITUTE(SUBSTITUTE(F29,"&lt;li&gt;",CHAR(10)),"&lt;/li&gt;",""),"&lt;br&gt;",CHAR(10)),"&lt;strong&gt;",""))</f>
        <v>&lt;p&gt;2026.05.28 RDV Nortia (Groupe DLPK) : Présentation offre FCPI, exploration distribution via marketplace Nortia. Participants : Nicolas Lemaire (Nortia), Cédric James, Théo Salerno. Nortia : marketplace B2B pour CGP/MFO/SFO, guichet unique. Prochaine étape : échanges à poursuivre, attente retours prospect.&lt;/p&gt;</v>
      </c>
      <c r="H29" s="6" cm="1" t="str">
        <f t="array" ref="H29">IF(G29="","",SUBSTITUTE(SUBSTITUTE(SUBSTITUTE(SUBSTITUTE(SUBSTITUTE(G29,"&lt;p&gt;",""),"&lt;/p&gt;",""),"&lt;ul&gt;",""),"&lt;/ul&gt;",""),"&lt;/strong&gt;",""))</f>
        <v>2026.05.28 RDV Nortia (Groupe DLPK) : Présentation offre FCPI, exploration distribution via marketplace Nortia. Participants : Nicolas Lemaire (Nortia), Cédric James, Théo Salerno. Nortia : marketplace B2B pour CGP/MFO/SFO, guichet unique. Prochaine étape : échanges à poursuivre, attente retours prospect.</v>
      </c>
      <c r="I29" s="12" cm="1" t="str">
        <f t="array" ref="I29">IF(C29="","",IF(OR(H29="",H29=0,H29=FALSE),"-",H29))</f>
        <v>2026.05.28 RDV Nortia (Groupe DLPK) : Présentation offre FCPI, exploration distribution via marketplace Nortia. Participants : Nicolas Lemaire (Nortia), Cédric James, Théo Salerno. Nortia : marketplace B2B pour CGP/MFO/SFO, guichet unique. Prochaine étape : échanges à poursuivre, attente retours prospect.</v>
      </c>
      <c r="J29" s="6" t="s">
        <v>119</v>
      </c>
      <c r="K29" s="6" t="s">
        <v>59</v>
      </c>
      <c r="L29" s="6" cm="1" t="str">
        <f t="array" ref="L29">IF(C29="","",IF(K29="Mort / Plus rien à faire","KO","OK"))</f>
        <v>OK</v>
      </c>
      <c r="M29" s="13">
        <v>46174.67927083333</v>
      </c>
      <c r="N29" s="13" cm="1" t="n">
        <f t="array" ref="N29">IF(OR(C29="",M29="",M29=0),"",M29)</f>
        <v>46174.67927083333</v>
      </c>
      <c r="O29" s="13">
</c>
      <c r="P29" s="13" cm="1" t="str">
        <f t="array" ref="P29">IF(C29="","",IF(OR(O29="",O29=0),"-",O29))</f>
        <v>-</v>
      </c>
      <c r="Q29" s="14">
        <v>0</v>
      </c>
      <c r="R29" s="6" cm="1" t="str">
        <f t="array" ref="R29">IF(C29="","",ROUND(Q29/1000000,3)&amp;" M€")</f>
        <v>0 M€</v>
      </c>
      <c r="S29" s="15">
        <v>30</v>
      </c>
      <c r="T29" s="6" cm="1" t="str">
        <f t="array" ref="T29">IF(C29="","",SUBSTITUTE(S29,"","")&amp;"%")</f>
        <v>30%</v>
      </c>
      <c r="U29" s="12" cm="1" t="str">
        <f t="array" ref="U29">IF(($N29="")*($P29=""),"",IF(($N29&lt;&gt;"")*($N29&gt;TODAY()-9)*($N29&lt;TODAY()+1)*($P29&lt;&gt;"")*($P29&gt;=TODAY())*($P29&lt;=TODAY()+13),"Semaine passée &amp; à venir",IF(($N29&lt;&gt;"")*($N29&gt;TODAY()-9)*($N29&lt;TODAY()+1),"Semaine passée",IF(($P29&lt;&gt;"")*($P29&gt;=TODAY())*($P29&lt;=TODAY()+13),"À venir","Autre"))))</f>
        <v>Semaine passée</v>
      </c>
      <c r="V29" s="5" cm="1" t="n">
        <f t="array" ref="V29">IF(C29&lt;&gt;"",1,0)</f>
        <v>1</v>
      </c>
      <c r="W29" s="5">
</c>
      <c r="X29" s="5">
</c>
      <c r="Y29" s="5">
</c>
      <c r="Z29" s="5">
</c>
      <c r="AA29" s="5">
</c>
      <c r="AB29" s="5">
</c>
      <c r="AC29" s="5">
</c>
      <c r="AD29" s="5">
</c>
      <c r="AE29" s="5">
</c>
      <c r="AF29" s="5">
</c>
      <c r="AG29" s="5">
</c>
      <c r="AH29" s="5">
</c>
      <c r="AI29" s="5">
</c>
      <c r="AJ29" s="5">
</c>
      <c r="AK29" s="5">
</c>
    </row>
    <row r="30" ht="65.25" customHeight="1">
      <c r="A30" s="6" t="s">
        <v>23</v>
      </c>
      <c r="B30" s="6" t="s">
        <v>24</v>
      </c>
      <c r="C30" s="11" t="s">
        <v>120</v>
      </c>
      <c r="D30" s="11" t="s">
        <v>121</v>
      </c>
      <c r="E30" s="6" t="s">
        <v>27</v>
      </c>
      <c r="F30" s="6" t="s">
        <v>122</v>
      </c>
      <c r="G30" s="6" cm="1" t="str">
        <f t="array" ref="G30">IF(F30="","",SUBSTITUTE(SUBSTITUTE(SUBSTITUTE(SUBSTITUTE(F30,"&lt;li&gt;",CHAR(10)),"&lt;/li&gt;",""),"&lt;br&gt;",CHAR(10)),"&lt;strong&gt;",""))</f>
        <v>&lt;p&gt;Multiples échanges et relances depuis janvier pour commercialiser FCPI JEI. Présentation FCPI Audacia, échanges sur défiscalisation, envoi docs le 20/04. RDV physique prévu puis reporté. Intérêt confirmé pour commercialisation, mais timing serré côté prospect. Prochaine étape : relance à prévoir.&lt;/p&gt;</v>
      </c>
      <c r="H30" s="6" cm="1" t="str">
        <f t="array" ref="H30">IF(G30="","",SUBSTITUTE(SUBSTITUTE(SUBSTITUTE(SUBSTITUTE(SUBSTITUTE(G30,"&lt;p&gt;",""),"&lt;/p&gt;",""),"&lt;ul&gt;",""),"&lt;/ul&gt;",""),"&lt;/strong&gt;",""))</f>
        <v>Multiples échanges et relances depuis janvier pour commercialiser FCPI JEI. Présentation FCPI Audacia, échanges sur défiscalisation, envoi docs le 20/04. RDV physique prévu puis reporté. Intérêt confirmé pour commercialisation, mais timing serré côté prospect. Prochaine étape : relance à prévoir.</v>
      </c>
      <c r="I30" s="12" cm="1" t="str">
        <f t="array" ref="I30">IF(C30="","",IF(OR(H30="",H30=0,H30=FALSE),"-",H30))</f>
        <v>Multiples échanges et relances depuis janvier pour commercialiser FCPI JEI. Présentation FCPI Audacia, échanges sur défiscalisation, envoi docs le 20/04. RDV physique prévu puis reporté. Intérêt confirmé pour commercialisation, mais timing serré côté prospect. Prochaine étape : relance à prévoir.</v>
      </c>
      <c r="J30" s="6" t="s">
        <v>123</v>
      </c>
      <c r="K30" s="6" t="s">
        <v>59</v>
      </c>
      <c r="L30" s="6" cm="1" t="str">
        <f t="array" ref="L30">IF(C30="","",IF(K30="Mort / Plus rien à faire","KO","OK"))</f>
        <v>OK</v>
      </c>
      <c r="M30" s="13">
        <v>46132.61157407407</v>
      </c>
      <c r="N30" s="13" cm="1" t="n">
        <f t="array" ref="N30">IF(OR(C30="",M30="",M30=0),"",M30)</f>
        <v>46132.61157407407</v>
      </c>
      <c r="O30" s="13">
</c>
      <c r="P30" s="13" cm="1" t="str">
        <f t="array" ref="P30">IF(C30="","",IF(OR(O30="",O30=0),"-",O30))</f>
        <v>-</v>
      </c>
      <c r="Q30" s="14">
        <v>0</v>
      </c>
      <c r="R30" s="6" cm="1" t="str">
        <f t="array" ref="R30">IF(C30="","",ROUND(Q30/1000000,3)&amp;" M€")</f>
        <v>0 M€</v>
      </c>
      <c r="S30" s="15">
        <v>30</v>
      </c>
      <c r="T30" s="6" cm="1" t="str">
        <f t="array" ref="T30">IF(C30="","",SUBSTITUTE(S30,"","")&amp;"%")</f>
        <v>30%</v>
      </c>
      <c r="U30" s="12" cm="1" t="str">
        <f t="array" ref="U30">IF(($N30="")*($P30=""),"",IF(($N30&lt;&gt;"")*($N30&gt;TODAY()-9)*($N30&lt;TODAY()+1)*($P30&lt;&gt;"")*($P30&gt;=TODAY())*($P30&lt;=TODAY()+13),"Semaine passée &amp; à venir",IF(($N30&lt;&gt;"")*($N30&gt;TODAY()-9)*($N30&lt;TODAY()+1),"Semaine passée",IF(($P30&lt;&gt;"")*($P30&gt;=TODAY())*($P30&lt;=TODAY()+13),"À venir","Autre"))))</f>
        <v>Autre</v>
      </c>
      <c r="V30" s="5" cm="1" t="n">
        <f t="array" ref="V30">IF(C30&lt;&gt;"",1,0)</f>
        <v>1</v>
      </c>
      <c r="W30" s="5">
</c>
      <c r="X30" s="5">
</c>
      <c r="Y30" s="5">
</c>
      <c r="Z30" s="5">
</c>
      <c r="AA30" s="5">
</c>
      <c r="AB30" s="5">
</c>
      <c r="AC30" s="5">
</c>
      <c r="AD30" s="5">
</c>
      <c r="AE30" s="5">
</c>
      <c r="AF30" s="5">
</c>
      <c r="AG30" s="5">
</c>
      <c r="AH30" s="5">
</c>
      <c r="AI30" s="5">
</c>
      <c r="AJ30" s="5">
</c>
      <c r="AK30" s="5">
</c>
    </row>
    <row r="31" ht="65.25" customHeight="1">
      <c r="A31" s="6" t="s">
        <v>23</v>
      </c>
      <c r="B31" s="6" t="s">
        <v>24</v>
      </c>
      <c r="C31" s="11" t="s">
        <v>124</v>
      </c>
      <c r="D31" s="11" t="s">
        <v>125</v>
      </c>
      <c r="E31" s="6" t="s">
        <v>38</v>
      </c>
      <c r="F31" s="6" t="s">
        <v>126</v>
      </c>
      <c r="G31" s="6" cm="1" t="str">
        <f t="array" ref="G31">IF(F31="","",SUBSTITUTE(SUBSTITUTE(SUBSTITUTE(SUBSTITUTE(F31,"&lt;li&gt;",CHAR(10)),"&lt;/li&gt;",""),"&lt;br&gt;",CHAR(10)),"&lt;strong&gt;",""))</f>
        <v>&lt;p&gt;Appel avec Michel Hollander, Stanislas Guerrin et Alban Ardin à mettre en copie pour organiser RDV avec Gérant FCPI. Nouvelle piste créée pour équipe Ventes. Prochaine étape : fixer dates avec le gérant. Pas d'autres retours ou conclusions prospects mentionnés à ce stade.&lt;/p&gt;</v>
      </c>
      <c r="H31" s="6" cm="1" t="str">
        <f t="array" ref="H31">IF(G31="","",SUBSTITUTE(SUBSTITUTE(SUBSTITUTE(SUBSTITUTE(SUBSTITUTE(G31,"&lt;p&gt;",""),"&lt;/p&gt;",""),"&lt;ul&gt;",""),"&lt;/ul&gt;",""),"&lt;/strong&gt;",""))</f>
        <v>Appel avec Michel Hollander, Stanislas Guerrin et Alban Ardin à mettre en copie pour organiser RDV avec Gérant FCPI. Nouvelle piste créée pour équipe Ventes. Prochaine étape : fixer dates avec le gérant. Pas d'autres retours ou conclusions prospects mentionnés à ce stade.</v>
      </c>
      <c r="I31" s="12" cm="1" t="str">
        <f t="array" ref="I31">IF(C31="","",IF(OR(H31="",H31=0,H31=FALSE),"-",H31))</f>
        <v>Appel avec Michel Hollander, Stanislas Guerrin et Alban Ardin à mettre en copie pour organiser RDV avec Gérant FCPI. Nouvelle piste créée pour équipe Ventes. Prochaine étape : fixer dates avec le gérant. Pas d'autres retours ou conclusions prospects mentionnés à ce stade.</v>
      </c>
      <c r="J31" s="6">
</c>
      <c r="K31" s="6" t="s">
        <v>59</v>
      </c>
      <c r="L31" s="6" cm="1" t="str">
        <f t="array" ref="L31">IF(C31="","",IF(K31="Mort / Plus rien à faire","KO","OK"))</f>
        <v>OK</v>
      </c>
      <c r="M31" s="13">
        <v>46094.76116898148</v>
      </c>
      <c r="N31" s="13" cm="1" t="n">
        <f t="array" ref="N31">IF(OR(C31="",M31="",M31=0),"",M31)</f>
        <v>46094.76116898148</v>
      </c>
      <c r="O31" s="13">
</c>
      <c r="P31" s="13" cm="1" t="str">
        <f t="array" ref="P31">IF(C31="","",IF(OR(O31="",O31=0),"-",O31))</f>
        <v>-</v>
      </c>
      <c r="Q31" s="14">
        <v>0</v>
      </c>
      <c r="R31" s="6" cm="1" t="str">
        <f t="array" ref="R31">IF(C31="","",ROUND(Q31/1000000,3)&amp;" M€")</f>
        <v>0 M€</v>
      </c>
      <c r="S31" s="15">
        <v>30</v>
      </c>
      <c r="T31" s="6" cm="1" t="str">
        <f t="array" ref="T31">IF(C31="","",SUBSTITUTE(S31,"","")&amp;"%")</f>
        <v>30%</v>
      </c>
      <c r="U31" s="12" cm="1" t="str">
        <f t="array" ref="U31">IF(($N31="")*($P31=""),"",IF(($N31&lt;&gt;"")*($N31&gt;TODAY()-9)*($N31&lt;TODAY()+1)*($P31&lt;&gt;"")*($P31&gt;=TODAY())*($P31&lt;=TODAY()+13),"Semaine passée &amp; à venir",IF(($N31&lt;&gt;"")*($N31&gt;TODAY()-9)*($N31&lt;TODAY()+1),"Semaine passée",IF(($P31&lt;&gt;"")*($P31&gt;=TODAY())*($P31&lt;=TODAY()+13),"À venir","Autre"))))</f>
        <v>Autre</v>
      </c>
      <c r="V31" s="5" cm="1" t="n">
        <f t="array" ref="V31">IF(C31&lt;&gt;"",1,0)</f>
        <v>1</v>
      </c>
      <c r="W31" s="5">
</c>
      <c r="X31" s="5">
</c>
      <c r="Y31" s="5">
</c>
      <c r="Z31" s="5">
</c>
      <c r="AA31" s="5">
</c>
      <c r="AB31" s="5">
</c>
      <c r="AC31" s="5">
</c>
      <c r="AD31" s="5">
</c>
      <c r="AE31" s="5">
</c>
      <c r="AF31" s="5">
</c>
      <c r="AG31" s="5">
</c>
      <c r="AH31" s="5">
</c>
      <c r="AI31" s="5">
</c>
      <c r="AJ31" s="5">
</c>
      <c r="AK31" s="5">
</c>
    </row>
    <row r="32" ht="65.25" customHeight="1">
      <c r="A32" s="6" t="s">
        <v>23</v>
      </c>
      <c r="B32" s="6" t="s">
        <v>24</v>
      </c>
      <c r="C32" s="11" t="s">
        <v>127</v>
      </c>
      <c r="D32" s="11" t="s">
        <v>128</v>
      </c>
      <c r="E32" s="6" t="s">
        <v>27</v>
      </c>
      <c r="F32" s="6" t="s">
        <v>129</v>
      </c>
      <c r="G32" s="6" cm="1" t="str">
        <f t="array" ref="G32">IF(F32="","",SUBSTITUTE(SUBSTITUTE(SUBSTITUTE(SUBSTITUTE(F32,"&lt;li&gt;",CHAR(10)),"&lt;/li&gt;",""),"&lt;br&gt;",CHAR(10)),"&lt;strong&gt;",""))</f>
        <v>&lt;p&gt;Rencontre au Salon Next Gen Patrimoine, échanges mails/LinkedIn, proposition RDV envoyée 21/04, offre présentée, prospect (Louis) intéressé, remercie, souhaite recontact début juillet. Suivi à prévoir début juillet, pas d'autres actions immédiates. Cabinet basé Paris/Chateauroux.&lt;/p&gt;</v>
      </c>
      <c r="H32" s="6" cm="1" t="str">
        <f t="array" ref="H32">IF(G32="","",SUBSTITUTE(SUBSTITUTE(SUBSTITUTE(SUBSTITUTE(SUBSTITUTE(G32,"&lt;p&gt;",""),"&lt;/p&gt;",""),"&lt;ul&gt;",""),"&lt;/ul&gt;",""),"&lt;/strong&gt;",""))</f>
        <v>Rencontre au Salon Next Gen Patrimoine, échanges mails/LinkedIn, proposition RDV envoyée 21/04, offre présentée, prospect (Louis) intéressé, remercie, souhaite recontact début juillet. Suivi à prévoir début juillet, pas d'autres actions immédiates. Cabinet basé Paris/Chateauroux.</v>
      </c>
      <c r="I32" s="12" cm="1" t="str">
        <f t="array" ref="I32">IF(C32="","",IF(OR(H32="",H32=0,H32=FALSE),"-",H32))</f>
        <v>Rencontre au Salon Next Gen Patrimoine, échanges mails/LinkedIn, proposition RDV envoyée 21/04, offre présentée, prospect (Louis) intéressé, remercie, souhaite recontact début juillet. Suivi à prévoir début juillet, pas d'autres actions immédiates. Cabinet basé Paris/Chateauroux.</v>
      </c>
      <c r="J32" s="6" t="s">
        <v>130</v>
      </c>
      <c r="K32" s="6" t="s">
        <v>59</v>
      </c>
      <c r="L32" s="6" cm="1" t="str">
        <f t="array" ref="L32">IF(C32="","",IF(K32="Mort / Plus rien à faire","KO","OK"))</f>
        <v>OK</v>
      </c>
      <c r="M32" s="13">
        <v>46139.43796296296</v>
      </c>
      <c r="N32" s="13" cm="1" t="n">
        <f t="array" ref="N32">IF(OR(C32="",M32="",M32=0),"",M32)</f>
        <v>46139.43796296296</v>
      </c>
      <c r="O32" s="13">
        <v>46204.083333333336</v>
      </c>
      <c r="P32" s="13" cm="1" t="n">
        <f t="array" ref="P32">IF(C32="","",IF(OR(O32="",O32=0),"-",O32))</f>
        <v>46204.083333333336</v>
      </c>
      <c r="Q32" s="14">
        <v>0</v>
      </c>
      <c r="R32" s="6" cm="1" t="str">
        <f t="array" ref="R32">IF(C32="","",ROUND(Q32/1000000,3)&amp;" M€")</f>
        <v>0 M€</v>
      </c>
      <c r="S32" s="15">
        <v>20</v>
      </c>
      <c r="T32" s="6" cm="1" t="str">
        <f t="array" ref="T32">IF(C32="","",SUBSTITUTE(S32,"","")&amp;"%")</f>
        <v>20%</v>
      </c>
      <c r="U32" s="12" cm="1" t="str">
        <f t="array" ref="U32">IF(($N32="")*($P32=""),"",IF(($N32&lt;&gt;"")*($N32&gt;TODAY()-9)*($N32&lt;TODAY()+1)*($P32&lt;&gt;"")*($P32&gt;=TODAY())*($P32&lt;=TODAY()+13),"Semaine passée &amp; à venir",IF(($N32&lt;&gt;"")*($N32&gt;TODAY()-9)*($N32&lt;TODAY()+1),"Semaine passée",IF(($P32&lt;&gt;"")*($P32&gt;=TODAY())*($P32&lt;=TODAY()+13),"À venir","Autre"))))</f>
        <v>Autre</v>
      </c>
      <c r="V32" s="5" cm="1" t="n">
        <f t="array" ref="V32">IF(C32&lt;&gt;"",1,0)</f>
        <v>1</v>
      </c>
      <c r="W32" s="5">
</c>
      <c r="X32" s="5">
</c>
      <c r="Y32" s="5">
</c>
      <c r="Z32" s="5">
</c>
      <c r="AA32" s="5">
</c>
      <c r="AB32" s="5">
</c>
      <c r="AC32" s="5">
</c>
      <c r="AD32" s="5">
</c>
      <c r="AE32" s="5">
</c>
      <c r="AF32" s="5">
</c>
      <c r="AG32" s="5">
</c>
      <c r="AH32" s="5">
</c>
      <c r="AI32" s="5">
</c>
      <c r="AJ32" s="5">
</c>
      <c r="AK32" s="5">
</c>
    </row>
    <row r="33" ht="65.25" customHeight="1">
      <c r="A33" s="6" t="s">
        <v>23</v>
      </c>
      <c r="B33" s="6" t="s">
        <v>43</v>
      </c>
      <c r="C33" s="11" t="s">
        <v>131</v>
      </c>
      <c r="D33" s="11" t="s">
        <v>131</v>
      </c>
      <c r="E33" s="6" t="s">
        <v>38</v>
      </c>
      <c r="F33" s="6" t="s">
        <v>132</v>
      </c>
      <c r="G33" s="6" cm="1" t="str">
        <f t="array" ref="G33">IF(F33="","",SUBSTITUTE(SUBSTITUTE(SUBSTITUTE(SUBSTITUTE(F33,"&lt;li&gt;",CHAR(10)),"&lt;/li&gt;",""),"&lt;br&gt;",CHAR(10)),"&lt;strong&gt;",""))</f>
        <v>&lt;p&gt;Piste créée pour équipe Ventes (16/03). Lead identifié CB (23/03). Relance mail envoyée pour échange téléphonique (30/03) par Edouard Gaurier. Aucun retour ou action récente du prospect. Pas d'activité ou d'échange significatif depuis, prochaine étape non planifiée à ce jour.&lt;/p&gt;</v>
      </c>
      <c r="H33" s="6" cm="1" t="str">
        <f t="array" ref="H33">IF(G33="","",SUBSTITUTE(SUBSTITUTE(SUBSTITUTE(SUBSTITUTE(SUBSTITUTE(G33,"&lt;p&gt;",""),"&lt;/p&gt;",""),"&lt;ul&gt;",""),"&lt;/ul&gt;",""),"&lt;/strong&gt;",""))</f>
        <v>Piste créée pour équipe Ventes (16/03). Lead identifié CB (23/03). Relance mail envoyée pour échange téléphonique (30/03) par Edouard Gaurier. Aucun retour ou action récente du prospect. Pas d'activité ou d'échange significatif depuis, prochaine étape non planifiée à ce jour.</v>
      </c>
      <c r="I33" s="12" cm="1" t="str">
        <f t="array" ref="I33">IF(C33="","",IF(OR(H33="",H33=0,H33=FALSE),"-",H33))</f>
        <v>Piste créée pour équipe Ventes (16/03). Lead identifié CB (23/03). Relance mail envoyée pour échange téléphonique (30/03) par Edouard Gaurier. Aucun retour ou action récente du prospect. Pas d'activité ou d'échange significatif depuis, prochaine étape non planifiée à ce jour.</v>
      </c>
      <c r="J33" s="6">
</c>
      <c r="K33" s="6" t="s">
        <v>59</v>
      </c>
      <c r="L33" s="6" cm="1" t="str">
        <f t="array" ref="L33">IF(C33="","",IF(K33="Mort / Plus rien à faire","KO","OK"))</f>
        <v>OK</v>
      </c>
      <c r="M33" s="13">
        <v>46126.52721064815</v>
      </c>
      <c r="N33" s="13" cm="1" t="n">
        <f t="array" ref="N33">IF(OR(C33="",M33="",M33=0),"",M33)</f>
        <v>46126.52721064815</v>
      </c>
      <c r="O33" s="13">
</c>
      <c r="P33" s="13" cm="1" t="str">
        <f t="array" ref="P33">IF(C33="","",IF(OR(O33="",O33=0),"-",O33))</f>
        <v>-</v>
      </c>
      <c r="Q33" s="14">
        <v>100000</v>
      </c>
      <c r="R33" s="6" cm="1" t="str">
        <f t="array" ref="R33">IF(C33="","",ROUND(Q33/1000000,3)&amp;" M€")</f>
        <v>0.1 M€</v>
      </c>
      <c r="S33" s="15">
        <v>10</v>
      </c>
      <c r="T33" s="6" cm="1" t="str">
        <f t="array" ref="T33">IF(C33="","",SUBSTITUTE(S33,"","")&amp;"%")</f>
        <v>10%</v>
      </c>
      <c r="U33" s="12" cm="1" t="str">
        <f t="array" ref="U33">IF(($N33="")*($P33=""),"",IF(($N33&lt;&gt;"")*($N33&gt;TODAY()-9)*($N33&lt;TODAY()+1)*($P33&lt;&gt;"")*($P33&gt;=TODAY())*($P33&lt;=TODAY()+13),"Semaine passée &amp; à venir",IF(($N33&lt;&gt;"")*($N33&gt;TODAY()-9)*($N33&lt;TODAY()+1),"Semaine passée",IF(($P33&lt;&gt;"")*($P33&gt;=TODAY())*($P33&lt;=TODAY()+13),"À venir","Autre"))))</f>
        <v>Autre</v>
      </c>
      <c r="V33" s="5" cm="1" t="n">
        <f t="array" ref="V33">IF(C33&lt;&gt;"",1,0)</f>
        <v>1</v>
      </c>
      <c r="W33" s="5">
</c>
      <c r="X33" s="5">
</c>
      <c r="Y33" s="5">
</c>
      <c r="Z33" s="5">
</c>
      <c r="AA33" s="5">
</c>
      <c r="AB33" s="5">
</c>
      <c r="AC33" s="5">
</c>
      <c r="AD33" s="5">
</c>
      <c r="AE33" s="5">
</c>
      <c r="AF33" s="5">
</c>
      <c r="AG33" s="5">
</c>
      <c r="AH33" s="5">
</c>
      <c r="AI33" s="5">
</c>
      <c r="AJ33" s="5">
</c>
      <c r="AK33" s="5">
</c>
    </row>
    <row r="34" ht="65.25" customHeight="1">
      <c r="A34" s="6" t="s">
        <v>23</v>
      </c>
      <c r="B34" s="6">
</c>
      <c r="C34" s="11" t="s">
        <v>133</v>
      </c>
      <c r="D34" s="11" t="s">
        <v>134</v>
      </c>
      <c r="E34" s="6" t="s">
        <v>57</v>
      </c>
      <c r="F34" s="6" t="s">
        <v>135</v>
      </c>
      <c r="G34" s="6" cm="1" t="str">
        <f t="array" ref="G34">IF(F34="","",SUBSTITUTE(SUBSTITUTE(SUBSTITUTE(SUBSTITUTE(F34,"&lt;li&gt;",CHAR(10)),"&lt;/li&gt;",""),"&lt;br&gt;",CHAR(10)),"&lt;strong&gt;",""))</f>
        <v>&lt;p&gt;Piste créée pour équipe Ventes. Enrichissement lead impossible (email invalide). Déjà pitché par LG lors de ses responsabilités à la Banque du Louvres, à recontacter par LG. Aucune activité ou échange supplémentaire enregistré, prochaine étape&amp;nbsp;: prise de contact par LG.&lt;/p&gt;</v>
      </c>
      <c r="H34" s="6" cm="1" t="str">
        <f t="array" ref="H34">IF(G34="","",SUBSTITUTE(SUBSTITUTE(SUBSTITUTE(SUBSTITUTE(SUBSTITUTE(G34,"&lt;p&gt;",""),"&lt;/p&gt;",""),"&lt;ul&gt;",""),"&lt;/ul&gt;",""),"&lt;/strong&gt;",""))</f>
        <v>Piste créée pour équipe Ventes. Enrichissement lead impossible (email invalide). Déjà pitché par LG lors de ses responsabilités à la Banque du Louvres, à recontacter par LG. Aucune activité ou échange supplémentaire enregistré, prochaine étape&amp;nbsp;: prise de contact par LG.</v>
      </c>
      <c r="I34" s="12" cm="1" t="str">
        <f t="array" ref="I34">IF(C34="","",IF(OR(H34="",H34=0,H34=FALSE),"-",H34))</f>
        <v>Piste créée pour équipe Ventes. Enrichissement lead impossible (email invalide). Déjà pitché par LG lors de ses responsabilités à la Banque du Louvres, à recontacter par LG. Aucune activité ou échange supplémentaire enregistré, prochaine étape&amp;nbsp;: prise de contact par LG.</v>
      </c>
      <c r="J34" s="6">
</c>
      <c r="K34" s="6" t="s">
        <v>75</v>
      </c>
      <c r="L34" s="6" cm="1" t="str">
        <f t="array" ref="L34">IF(C34="","",IF(K34="Mort / Plus rien à faire","KO","OK"))</f>
        <v>OK</v>
      </c>
      <c r="M34" s="13">
        <v>46139.6333912037</v>
      </c>
      <c r="N34" s="13" cm="1" t="n">
        <f t="array" ref="N34">IF(OR(C34="",M34="",M34=0),"",M34)</f>
        <v>46139.6333912037</v>
      </c>
      <c r="O34" s="13">
</c>
      <c r="P34" s="13" cm="1" t="str">
        <f t="array" ref="P34">IF(C34="","",IF(OR(O34="",O34=0),"-",O34))</f>
        <v>-</v>
      </c>
      <c r="Q34" s="14">
        <v>0</v>
      </c>
      <c r="R34" s="6" cm="1" t="str">
        <f t="array" ref="R34">IF(C34="","",ROUND(Q34/1000000,3)&amp;" M€")</f>
        <v>0 M€</v>
      </c>
      <c r="S34" s="15">
        <v>10</v>
      </c>
      <c r="T34" s="6" cm="1" t="str">
        <f t="array" ref="T34">IF(C34="","",SUBSTITUTE(S34,"","")&amp;"%")</f>
        <v>10%</v>
      </c>
      <c r="U34" s="12" cm="1" t="str">
        <f t="array" ref="U34">IF(($N34="")*($P34=""),"",IF(($N34&lt;&gt;"")*($N34&gt;TODAY()-9)*($N34&lt;TODAY()+1)*($P34&lt;&gt;"")*($P34&gt;=TODAY())*($P34&lt;=TODAY()+13),"Semaine passée &amp; à venir",IF(($N34&lt;&gt;"")*($N34&gt;TODAY()-9)*($N34&lt;TODAY()+1),"Semaine passée",IF(($P34&lt;&gt;"")*($P34&gt;=TODAY())*($P34&lt;=TODAY()+13),"À venir","Autre"))))</f>
        <v>Autre</v>
      </c>
      <c r="V34" s="5" cm="1" t="n">
        <f t="array" ref="V34">IF(C34&lt;&gt;"",1,0)</f>
        <v>1</v>
      </c>
      <c r="W34" s="5">
</c>
      <c r="X34" s="5">
</c>
      <c r="Y34" s="5">
</c>
      <c r="Z34" s="5">
</c>
      <c r="AA34" s="5">
</c>
      <c r="AB34" s="5">
</c>
      <c r="AC34" s="5">
</c>
      <c r="AD34" s="5">
</c>
      <c r="AE34" s="5">
</c>
      <c r="AF34" s="5">
</c>
      <c r="AG34" s="5">
</c>
      <c r="AH34" s="5">
</c>
      <c r="AI34" s="5">
</c>
      <c r="AJ34" s="5">
</c>
      <c r="AK34" s="5">
</c>
    </row>
    <row r="35" ht="65.25" customHeight="1">
      <c r="A35" s="6" t="s">
        <v>23</v>
      </c>
      <c r="B35" s="6" t="s">
        <v>76</v>
      </c>
      <c r="C35" s="11" t="s">
        <v>136</v>
      </c>
      <c r="D35" s="11" t="s">
        <v>137</v>
      </c>
      <c r="E35" s="6" t="s">
        <v>57</v>
      </c>
      <c r="F35" s="6" t="s">
        <v>138</v>
      </c>
      <c r="G35" s="6" cm="1" t="str">
        <f t="array" ref="G35">IF(F35="","",SUBSTITUTE(SUBSTITUTE(SUBSTITUTE(SUBSTITUTE(F35,"&lt;li&gt;",CHAR(10)),"&lt;/li&gt;",""),"&lt;br&gt;",CHAR(10)),"&lt;strong&gt;",""))</f>
        <v>&lt;p&gt;Nouvelle piste créée équipe Ventes. Enrichissement lead impossible, email invalide. Contact à prévoir par LG, déjà pitché mais pas à cette personne. Pas de retour prospect ni d'activité supplémentaire. Prochaine étape&amp;nbsp;: prise de contact par LG.&lt;/p&gt;</v>
      </c>
      <c r="H35" s="6" cm="1" t="str">
        <f t="array" ref="H35">IF(G35="","",SUBSTITUTE(SUBSTITUTE(SUBSTITUTE(SUBSTITUTE(SUBSTITUTE(G35,"&lt;p&gt;",""),"&lt;/p&gt;",""),"&lt;ul&gt;",""),"&lt;/ul&gt;",""),"&lt;/strong&gt;",""))</f>
        <v>Nouvelle piste créée équipe Ventes. Enrichissement lead impossible, email invalide. Contact à prévoir par LG, déjà pitché mais pas à cette personne. Pas de retour prospect ni d'activité supplémentaire. Prochaine étape&amp;nbsp;: prise de contact par LG.</v>
      </c>
      <c r="I35" s="12" cm="1" t="str">
        <f t="array" ref="I35">IF(C35="","",IF(OR(H35="",H35=0,H35=FALSE),"-",H35))</f>
        <v>Nouvelle piste créée équipe Ventes. Enrichissement lead impossible, email invalide. Contact à prévoir par LG, déjà pitché mais pas à cette personne. Pas de retour prospect ni d'activité supplémentaire. Prochaine étape&amp;nbsp;: prise de contact par LG.</v>
      </c>
      <c r="J35" s="6">
</c>
      <c r="K35" s="6" t="s">
        <v>75</v>
      </c>
      <c r="L35" s="6" cm="1" t="str">
        <f t="array" ref="L35">IF(C35="","",IF(K35="Mort / Plus rien à faire","KO","OK"))</f>
        <v>OK</v>
      </c>
      <c r="M35" s="13">
        <v>46139.63311342592</v>
      </c>
      <c r="N35" s="13" cm="1" t="n">
        <f t="array" ref="N35">IF(OR(C35="",M35="",M35=0),"",M35)</f>
        <v>46139.63311342592</v>
      </c>
      <c r="O35" s="13">
</c>
      <c r="P35" s="13" cm="1" t="str">
        <f t="array" ref="P35">IF(C35="","",IF(OR(O35="",O35=0),"-",O35))</f>
        <v>-</v>
      </c>
      <c r="Q35" s="14">
        <v>0</v>
      </c>
      <c r="R35" s="6" cm="1" t="str">
        <f t="array" ref="R35">IF(C35="","",ROUND(Q35/1000000,3)&amp;" M€")</f>
        <v>0 M€</v>
      </c>
      <c r="S35" s="15">
        <v>10</v>
      </c>
      <c r="T35" s="6" cm="1" t="str">
        <f t="array" ref="T35">IF(C35="","",SUBSTITUTE(S35,"","")&amp;"%")</f>
        <v>10%</v>
      </c>
      <c r="U35" s="12" cm="1" t="str">
        <f t="array" ref="U35">IF(($N35="")*($P35=""),"",IF(($N35&lt;&gt;"")*($N35&gt;TODAY()-9)*($N35&lt;TODAY()+1)*($P35&lt;&gt;"")*($P35&gt;=TODAY())*($P35&lt;=TODAY()+13),"Semaine passée &amp; à venir",IF(($N35&lt;&gt;"")*($N35&gt;TODAY()-9)*($N35&lt;TODAY()+1),"Semaine passée",IF(($P35&lt;&gt;"")*($P35&gt;=TODAY())*($P35&lt;=TODAY()+13),"À venir","Autre"))))</f>
        <v>Autre</v>
      </c>
      <c r="V35" s="5" cm="1" t="n">
        <f t="array" ref="V35">IF(C35&lt;&gt;"",1,0)</f>
        <v>1</v>
      </c>
      <c r="W35" s="5">
</c>
      <c r="X35" s="5">
</c>
      <c r="Y35" s="5">
</c>
      <c r="Z35" s="5">
</c>
      <c r="AA35" s="5">
</c>
      <c r="AB35" s="5">
</c>
      <c r="AC35" s="5">
</c>
      <c r="AD35" s="5">
</c>
      <c r="AE35" s="5">
</c>
      <c r="AF35" s="5">
</c>
      <c r="AG35" s="5">
</c>
      <c r="AH35" s="5">
</c>
      <c r="AI35" s="5">
</c>
      <c r="AJ35" s="5">
</c>
      <c r="AK35" s="5">
</c>
    </row>
    <row r="36" ht="65.25" customHeight="1">
      <c r="A36" s="6" t="s">
        <v>23</v>
      </c>
      <c r="B36" s="6" t="s">
        <v>76</v>
      </c>
      <c r="C36" s="11" t="s">
        <v>139</v>
      </c>
      <c r="D36" s="11" t="s">
        <v>140</v>
      </c>
      <c r="E36" s="6" t="s">
        <v>57</v>
      </c>
      <c r="F36" s="6" t="s">
        <v>141</v>
      </c>
      <c r="G36" s="6" cm="1" t="str">
        <f t="array" ref="G36">IF(F36="","",SUBSTITUTE(SUBSTITUTE(SUBSTITUTE(SUBSTITUTE(F36,"&lt;li&gt;",CHAR(10)),"&lt;/li&gt;",""),"&lt;br&gt;",CHAR(10)),"&lt;strong&gt;",""))</f>
        <v>&lt;p&gt;Nouvelle piste créée équipe Ventes. Tentative d'enrichissement échouée (email invalide). À contacter par LG, déjà pitché mais pas à cette personne. Prochaine étape : prise de contact ciblée par LG. Aucune conclusion prospect ni retour sur fonds présentés à ce stade.&lt;/p&gt;</v>
      </c>
      <c r="H36" s="6" cm="1" t="str">
        <f t="array" ref="H36">IF(G36="","",SUBSTITUTE(SUBSTITUTE(SUBSTITUTE(SUBSTITUTE(SUBSTITUTE(G36,"&lt;p&gt;",""),"&lt;/p&gt;",""),"&lt;ul&gt;",""),"&lt;/ul&gt;",""),"&lt;/strong&gt;",""))</f>
        <v>Nouvelle piste créée équipe Ventes. Tentative d'enrichissement échouée (email invalide). À contacter par LG, déjà pitché mais pas à cette personne. Prochaine étape : prise de contact ciblée par LG. Aucune conclusion prospect ni retour sur fonds présentés à ce stade.</v>
      </c>
      <c r="I36" s="12" cm="1" t="str">
        <f t="array" ref="I36">IF(C36="","",IF(OR(H36="",H36=0,H36=FALSE),"-",H36))</f>
        <v>Nouvelle piste créée équipe Ventes. Tentative d'enrichissement échouée (email invalide). À contacter par LG, déjà pitché mais pas à cette personne. Prochaine étape : prise de contact ciblée par LG. Aucune conclusion prospect ni retour sur fonds présentés à ce stade.</v>
      </c>
      <c r="J36" s="6">
</c>
      <c r="K36" s="6" t="s">
        <v>75</v>
      </c>
      <c r="L36" s="6" cm="1" t="str">
        <f t="array" ref="L36">IF(C36="","",IF(K36="Mort / Plus rien à faire","KO","OK"))</f>
        <v>OK</v>
      </c>
      <c r="M36" s="13">
        <v>46139.632569444446</v>
      </c>
      <c r="N36" s="13" cm="1" t="n">
        <f t="array" ref="N36">IF(OR(C36="",M36="",M36=0),"",M36)</f>
        <v>46139.632569444446</v>
      </c>
      <c r="O36" s="13">
</c>
      <c r="P36" s="13" cm="1" t="str">
        <f t="array" ref="P36">IF(C36="","",IF(OR(O36="",O36=0),"-",O36))</f>
        <v>-</v>
      </c>
      <c r="Q36" s="14">
        <v>0</v>
      </c>
      <c r="R36" s="6" cm="1" t="str">
        <f t="array" ref="R36">IF(C36="","",ROUND(Q36/1000000,3)&amp;" M€")</f>
        <v>0 M€</v>
      </c>
      <c r="S36" s="15">
        <v>10</v>
      </c>
      <c r="T36" s="6" cm="1" t="str">
        <f t="array" ref="T36">IF(C36="","",SUBSTITUTE(S36,"","")&amp;"%")</f>
        <v>10%</v>
      </c>
      <c r="U36" s="12" cm="1" t="str">
        <f t="array" ref="U36">IF(($N36="")*($P36=""),"",IF(($N36&lt;&gt;"")*($N36&gt;TODAY()-9)*($N36&lt;TODAY()+1)*($P36&lt;&gt;"")*($P36&gt;=TODAY())*($P36&lt;=TODAY()+13),"Semaine passée &amp; à venir",IF(($N36&lt;&gt;"")*($N36&gt;TODAY()-9)*($N36&lt;TODAY()+1),"Semaine passée",IF(($P36&lt;&gt;"")*($P36&gt;=TODAY())*($P36&lt;=TODAY()+13),"À venir","Autre"))))</f>
        <v>Autre</v>
      </c>
      <c r="V36" s="5" cm="1" t="n">
        <f t="array" ref="V36">IF(C36&lt;&gt;"",1,0)</f>
        <v>1</v>
      </c>
      <c r="W36" s="5">
</c>
      <c r="X36" s="5">
</c>
      <c r="Y36" s="5">
</c>
      <c r="Z36" s="5">
</c>
      <c r="AA36" s="5">
</c>
      <c r="AB36" s="5">
</c>
      <c r="AC36" s="5">
</c>
      <c r="AD36" s="5">
</c>
      <c r="AE36" s="5">
</c>
      <c r="AF36" s="5">
</c>
      <c r="AG36" s="5">
</c>
      <c r="AH36" s="5">
</c>
      <c r="AI36" s="5">
</c>
      <c r="AJ36" s="5">
</c>
      <c r="AK36" s="5">
</c>
    </row>
    <row r="37" ht="65.25" customHeight="1">
      <c r="A37" s="6" t="s">
        <v>23</v>
      </c>
      <c r="B37" s="6">
</c>
      <c r="C37" s="11" t="s">
        <v>142</v>
      </c>
      <c r="D37" s="11" t="s">
        <v>143</v>
      </c>
      <c r="E37" s="6" t="s">
        <v>57</v>
      </c>
      <c r="F37" s="6" t="s">
        <v>144</v>
      </c>
      <c r="G37" s="6" cm="1" t="str">
        <f t="array" ref="G37">IF(F37="","",SUBSTITUTE(SUBSTITUTE(SUBSTITUTE(SUBSTITUTE(F37,"&lt;li&gt;",CHAR(10)),"&lt;/li&gt;",""),"&lt;br&gt;",CHAR(10)),"&lt;strong&gt;",""))</f>
        <v>&lt;p&gt;Nouvelle piste créée équipe Ventes. Tentative d'enrichissement échouée (email invalide). Déjà pitché par LG mais pas à ce niveau, à recontacter. Aucune activité complémentaire ni retour prospect sur fonds. Prochaine étape : prise de contact par LG.&lt;/p&gt;</v>
      </c>
      <c r="H37" s="6" cm="1" t="str">
        <f t="array" ref="H37">IF(G37="","",SUBSTITUTE(SUBSTITUTE(SUBSTITUTE(SUBSTITUTE(SUBSTITUTE(G37,"&lt;p&gt;",""),"&lt;/p&gt;",""),"&lt;ul&gt;",""),"&lt;/ul&gt;",""),"&lt;/strong&gt;",""))</f>
        <v>Nouvelle piste créée équipe Ventes. Tentative d'enrichissement échouée (email invalide). Déjà pitché par LG mais pas à ce niveau, à recontacter. Aucune activité complémentaire ni retour prospect sur fonds. Prochaine étape : prise de contact par LG.</v>
      </c>
      <c r="I37" s="12" cm="1" t="str">
        <f t="array" ref="I37">IF(C37="","",IF(OR(H37="",H37=0,H37=FALSE),"-",H37))</f>
        <v>Nouvelle piste créée équipe Ventes. Tentative d'enrichissement échouée (email invalide). Déjà pitché par LG mais pas à ce niveau, à recontacter. Aucune activité complémentaire ni retour prospect sur fonds. Prochaine étape : prise de contact par LG.</v>
      </c>
      <c r="J37" s="6">
</c>
      <c r="K37" s="6" t="s">
        <v>75</v>
      </c>
      <c r="L37" s="6" cm="1" t="str">
        <f t="array" ref="L37">IF(C37="","",IF(K37="Mort / Plus rien à faire","KO","OK"))</f>
        <v>OK</v>
      </c>
      <c r="M37" s="13">
        <v>46139.63217592592</v>
      </c>
      <c r="N37" s="13" cm="1" t="n">
        <f t="array" ref="N37">IF(OR(C37="",M37="",M37=0),"",M37)</f>
        <v>46139.63217592592</v>
      </c>
      <c r="O37" s="13">
</c>
      <c r="P37" s="13" cm="1" t="str">
        <f t="array" ref="P37">IF(C37="","",IF(OR(O37="",O37=0),"-",O37))</f>
        <v>-</v>
      </c>
      <c r="Q37" s="14">
        <v>0</v>
      </c>
      <c r="R37" s="6" cm="1" t="str">
        <f t="array" ref="R37">IF(C37="","",ROUND(Q37/1000000,3)&amp;" M€")</f>
        <v>0 M€</v>
      </c>
      <c r="S37" s="15">
        <v>10</v>
      </c>
      <c r="T37" s="6" cm="1" t="str">
        <f t="array" ref="T37">IF(C37="","",SUBSTITUTE(S37,"","")&amp;"%")</f>
        <v>10%</v>
      </c>
      <c r="U37" s="12" cm="1" t="str">
        <f t="array" ref="U37">IF(($N37="")*($P37=""),"",IF(($N37&lt;&gt;"")*($N37&gt;TODAY()-9)*($N37&lt;TODAY()+1)*($P37&lt;&gt;"")*($P37&gt;=TODAY())*($P37&lt;=TODAY()+13),"Semaine passée &amp; à venir",IF(($N37&lt;&gt;"")*($N37&gt;TODAY()-9)*($N37&lt;TODAY()+1),"Semaine passée",IF(($P37&lt;&gt;"")*($P37&gt;=TODAY())*($P37&lt;=TODAY()+13),"À venir","Autre"))))</f>
        <v>Autre</v>
      </c>
      <c r="V37" s="5" cm="1" t="n">
        <f t="array" ref="V37">IF(C37&lt;&gt;"",1,0)</f>
        <v>1</v>
      </c>
      <c r="W37" s="5">
</c>
      <c r="X37" s="5">
</c>
      <c r="Y37" s="5">
</c>
      <c r="Z37" s="5">
</c>
      <c r="AA37" s="5">
</c>
      <c r="AB37" s="5">
</c>
      <c r="AC37" s="5">
</c>
      <c r="AD37" s="5">
</c>
      <c r="AE37" s="5">
</c>
      <c r="AF37" s="5">
</c>
      <c r="AG37" s="5">
</c>
      <c r="AH37" s="5">
</c>
      <c r="AI37" s="5">
</c>
      <c r="AJ37" s="5">
</c>
      <c r="AK37" s="5">
</c>
    </row>
    <row r="38" ht="65.25" customHeight="1">
      <c r="A38" s="6" t="s">
        <v>23</v>
      </c>
      <c r="B38" s="6" t="s">
        <v>76</v>
      </c>
      <c r="C38" s="11" t="s">
        <v>145</v>
      </c>
      <c r="D38" s="11" t="s">
        <v>146</v>
      </c>
      <c r="E38" s="6" t="s">
        <v>57</v>
      </c>
      <c r="F38" s="6" t="s">
        <v>147</v>
      </c>
      <c r="G38" s="6" cm="1" t="str">
        <f t="array" ref="G38">IF(F38="","",SUBSTITUTE(SUBSTITUTE(SUBSTITUTE(SUBSTITUTE(F38,"&lt;li&gt;",CHAR(10)),"&lt;/li&gt;",""),"&lt;br&gt;",CHAR(10)),"&lt;strong&gt;",""))</f>
        <v>&lt;p&gt;Contact à prévoir par LG, déjà pitché mais pas à ce niveau. Tentative d’enrichissement lead échouée (email invalide). Nouvelle piste créée pour équipe Ventes. Prochaines étapes&amp;nbsp;: recontacter. Banque Privée EdR&amp;nbsp;: collecte 2Mds€ 2025, marché non coté 20%, clients 10M€ patrimoine, intérêt remploi 150 OB ter.&lt;/p&gt;</v>
      </c>
      <c r="H38" s="6" cm="1" t="str">
        <f t="array" ref="H38">IF(G38="","",SUBSTITUTE(SUBSTITUTE(SUBSTITUTE(SUBSTITUTE(SUBSTITUTE(G38,"&lt;p&gt;",""),"&lt;/p&gt;",""),"&lt;ul&gt;",""),"&lt;/ul&gt;",""),"&lt;/strong&gt;",""))</f>
        <v>Contact à prévoir par LG, déjà pitché mais pas à ce niveau. Tentative d’enrichissement lead échouée (email invalide). Nouvelle piste créée pour équipe Ventes. Prochaines étapes&amp;nbsp;: recontacter. Banque Privée EdR&amp;nbsp;: collecte 2Mds€ 2025, marché non coté 20%, clients 10M€ patrimoine, intérêt remploi 150 OB ter.</v>
      </c>
      <c r="I38" s="12" cm="1" t="str">
        <f t="array" ref="I38">IF(C38="","",IF(OR(H38="",H38=0,H38=FALSE),"-",H38))</f>
        <v>Contact à prévoir par LG, déjà pitché mais pas à ce niveau. Tentative d’enrichissement lead échouée (email invalide). Nouvelle piste créée pour équipe Ventes. Prochaines étapes&amp;nbsp;: recontacter. Banque Privée EdR&amp;nbsp;: collecte 2Mds€ 2025, marché non coté 20%, clients 10M€ patrimoine, intérêt remploi 150 OB ter.</v>
      </c>
      <c r="J38" s="6">
</c>
      <c r="K38" s="6" t="s">
        <v>75</v>
      </c>
      <c r="L38" s="6" cm="1" t="str">
        <f t="array" ref="L38">IF(C38="","",IF(K38="Mort / Plus rien à faire","KO","OK"))</f>
        <v>OK</v>
      </c>
      <c r="M38" s="13">
        <v>46139.63185185185</v>
      </c>
      <c r="N38" s="13" cm="1" t="n">
        <f t="array" ref="N38">IF(OR(C38="",M38="",M38=0),"",M38)</f>
        <v>46139.63185185185</v>
      </c>
      <c r="O38" s="13">
</c>
      <c r="P38" s="13" cm="1" t="str">
        <f t="array" ref="P38">IF(C38="","",IF(OR(O38="",O38=0),"-",O38))</f>
        <v>-</v>
      </c>
      <c r="Q38" s="14">
        <v>0</v>
      </c>
      <c r="R38" s="6" cm="1" t="str">
        <f t="array" ref="R38">IF(C38="","",ROUND(Q38/1000000,3)&amp;" M€")</f>
        <v>0 M€</v>
      </c>
      <c r="S38" s="15">
        <v>10</v>
      </c>
      <c r="T38" s="6" cm="1" t="str">
        <f t="array" ref="T38">IF(C38="","",SUBSTITUTE(S38,"","")&amp;"%")</f>
        <v>10%</v>
      </c>
      <c r="U38" s="12" cm="1" t="str">
        <f t="array" ref="U38">IF(($N38="")*($P38=""),"",IF(($N38&lt;&gt;"")*($N38&gt;TODAY()-9)*($N38&lt;TODAY()+1)*($P38&lt;&gt;"")*($P38&gt;=TODAY())*($P38&lt;=TODAY()+13),"Semaine passée &amp; à venir",IF(($N38&lt;&gt;"")*($N38&gt;TODAY()-9)*($N38&lt;TODAY()+1),"Semaine passée",IF(($P38&lt;&gt;"")*($P38&gt;=TODAY())*($P38&lt;=TODAY()+13),"À venir","Autre"))))</f>
        <v>Autre</v>
      </c>
      <c r="V38" s="5" cm="1" t="n">
        <f t="array" ref="V38">IF(C38&lt;&gt;"",1,0)</f>
        <v>1</v>
      </c>
      <c r="W38" s="5">
</c>
      <c r="X38" s="5">
</c>
      <c r="Y38" s="5">
</c>
      <c r="Z38" s="5">
</c>
      <c r="AA38" s="5">
</c>
      <c r="AB38" s="5">
</c>
      <c r="AC38" s="5">
</c>
      <c r="AD38" s="5">
</c>
      <c r="AE38" s="5">
</c>
      <c r="AF38" s="5">
</c>
      <c r="AG38" s="5">
</c>
      <c r="AH38" s="5">
</c>
      <c r="AI38" s="5">
</c>
      <c r="AJ38" s="5">
</c>
      <c r="AK38" s="5">
</c>
    </row>
    <row r="39" ht="65.25" customHeight="1">
      <c r="A39" s="6" t="s">
        <v>23</v>
      </c>
      <c r="B39" s="6" t="s">
        <v>70</v>
      </c>
      <c r="C39" s="11" t="s">
        <v>148</v>
      </c>
      <c r="D39" s="11" t="s">
        <v>149</v>
      </c>
      <c r="E39" s="6" t="s">
        <v>57</v>
      </c>
      <c r="F39" s="6" t="s">
        <v>150</v>
      </c>
      <c r="G39" s="6" cm="1" t="str">
        <f t="array" ref="G39">IF(F39="","",SUBSTITUTE(SUBSTITUTE(SUBSTITUTE(SUBSTITUTE(F39,"&lt;li&gt;",CHAR(10)),"&lt;/li&gt;",""),"&lt;br&gt;",CHAR(10)),"&lt;strong&gt;",""))</f>
        <v>&lt;p&gt;Piste créée pour équipe Ventes. Enrichissement impossible (email invalide). Déjà pitché, à recontacter par LG, sont partenaires chez nous. Pas d'autres actions ou retours prospects mentionnés. Prochaine étape : prise de contact par LG.&lt;/p&gt;</v>
      </c>
      <c r="H39" s="6" cm="1" t="str">
        <f t="array" ref="H39">IF(G39="","",SUBSTITUTE(SUBSTITUTE(SUBSTITUTE(SUBSTITUTE(SUBSTITUTE(G39,"&lt;p&gt;",""),"&lt;/p&gt;",""),"&lt;ul&gt;",""),"&lt;/ul&gt;",""),"&lt;/strong&gt;",""))</f>
        <v>Piste créée pour équipe Ventes. Enrichissement impossible (email invalide). Déjà pitché, à recontacter par LG, sont partenaires chez nous. Pas d'autres actions ou retours prospects mentionnés. Prochaine étape : prise de contact par LG.</v>
      </c>
      <c r="I39" s="12" cm="1" t="str">
        <f t="array" ref="I39">IF(C39="","",IF(OR(H39="",H39=0,H39=FALSE),"-",H39))</f>
        <v>Piste créée pour équipe Ventes. Enrichissement impossible (email invalide). Déjà pitché, à recontacter par LG, sont partenaires chez nous. Pas d'autres actions ou retours prospects mentionnés. Prochaine étape : prise de contact par LG.</v>
      </c>
      <c r="J39" s="6">
</c>
      <c r="K39" s="6" t="s">
        <v>75</v>
      </c>
      <c r="L39" s="6" cm="1" t="str">
        <f t="array" ref="L39">IF(C39="","",IF(K39="Mort / Plus rien à faire","KO","OK"))</f>
        <v>OK</v>
      </c>
      <c r="M39" s="13">
        <v>46139.6309375</v>
      </c>
      <c r="N39" s="13" cm="1" t="n">
        <f t="array" ref="N39">IF(OR(C39="",M39="",M39=0),"",M39)</f>
        <v>46139.6309375</v>
      </c>
      <c r="O39" s="13">
</c>
      <c r="P39" s="13" cm="1" t="str">
        <f t="array" ref="P39">IF(C39="","",IF(OR(O39="",O39=0),"-",O39))</f>
        <v>-</v>
      </c>
      <c r="Q39" s="14">
        <v>0</v>
      </c>
      <c r="R39" s="6" cm="1" t="str">
        <f t="array" ref="R39">IF(C39="","",ROUND(Q39/1000000,3)&amp;" M€")</f>
        <v>0 M€</v>
      </c>
      <c r="S39" s="15">
        <v>10</v>
      </c>
      <c r="T39" s="6" cm="1" t="str">
        <f t="array" ref="T39">IF(C39="","",SUBSTITUTE(S39,"","")&amp;"%")</f>
        <v>10%</v>
      </c>
      <c r="U39" s="12" cm="1" t="str">
        <f t="array" ref="U39">IF(($N39="")*($P39=""),"",IF(($N39&lt;&gt;"")*($N39&gt;TODAY()-9)*($N39&lt;TODAY()+1)*($P39&lt;&gt;"")*($P39&gt;=TODAY())*($P39&lt;=TODAY()+13),"Semaine passée &amp; à venir",IF(($N39&lt;&gt;"")*($N39&gt;TODAY()-9)*($N39&lt;TODAY()+1),"Semaine passée",IF(($P39&lt;&gt;"")*($P39&gt;=TODAY())*($P39&lt;=TODAY()+13),"À venir","Autre"))))</f>
        <v>Autre</v>
      </c>
      <c r="V39" s="5" cm="1" t="n">
        <f t="array" ref="V39">IF(C39&lt;&gt;"",1,0)</f>
        <v>1</v>
      </c>
      <c r="W39" s="5">
</c>
      <c r="X39" s="5">
</c>
      <c r="Y39" s="5">
</c>
      <c r="Z39" s="5">
</c>
      <c r="AA39" s="5">
</c>
      <c r="AB39" s="5">
</c>
      <c r="AC39" s="5">
</c>
      <c r="AD39" s="5">
</c>
      <c r="AE39" s="5">
</c>
      <c r="AF39" s="5">
</c>
      <c r="AG39" s="5">
</c>
      <c r="AH39" s="5">
</c>
      <c r="AI39" s="5">
</c>
      <c r="AJ39" s="5">
</c>
      <c r="AK39" s="5">
</c>
    </row>
    <row r="40" ht="65.25" customHeight="1">
      <c r="A40" s="6" t="s">
        <v>23</v>
      </c>
      <c r="B40" s="6" t="s">
        <v>24</v>
      </c>
      <c r="C40" s="11" t="s">
        <v>151</v>
      </c>
      <c r="D40" s="11" t="s">
        <v>152</v>
      </c>
      <c r="E40" s="6" t="s">
        <v>57</v>
      </c>
      <c r="F40" s="6" t="s">
        <v>153</v>
      </c>
      <c r="G40" s="6" cm="1" t="str">
        <f t="array" ref="G40">IF(F40="","",SUBSTITUTE(SUBSTITUTE(SUBSTITUTE(SUBSTITUTE(F40,"&lt;li&gt;",CHAR(10)),"&lt;/li&gt;",""),"&lt;br&gt;",CHAR(10)),"&lt;strong&gt;",""))</f>
        <v>&lt;p&gt;Nouvelle piste créée équipe Ventes. Premier contact à prévoir par LG, déjà pitché par Charles. Enrichissement lead impossible, email non valide. Aucun retour prospect ni activité complémentaire enregistrée. Prochaine étape : prise de contact par LG.&lt;/p&gt;</v>
      </c>
      <c r="H40" s="6" cm="1" t="str">
        <f t="array" ref="H40">IF(G40="","",SUBSTITUTE(SUBSTITUTE(SUBSTITUTE(SUBSTITUTE(SUBSTITUTE(G40,"&lt;p&gt;",""),"&lt;/p&gt;",""),"&lt;ul&gt;",""),"&lt;/ul&gt;",""),"&lt;/strong&gt;",""))</f>
        <v>Nouvelle piste créée équipe Ventes. Premier contact à prévoir par LG, déjà pitché par Charles. Enrichissement lead impossible, email non valide. Aucun retour prospect ni activité complémentaire enregistrée. Prochaine étape : prise de contact par LG.</v>
      </c>
      <c r="I40" s="12" cm="1" t="str">
        <f t="array" ref="I40">IF(C40="","",IF(OR(H40="",H40=0,H40=FALSE),"-",H40))</f>
        <v>Nouvelle piste créée équipe Ventes. Premier contact à prévoir par LG, déjà pitché par Charles. Enrichissement lead impossible, email non valide. Aucun retour prospect ni activité complémentaire enregistrée. Prochaine étape : prise de contact par LG.</v>
      </c>
      <c r="J40" s="6">
</c>
      <c r="K40" s="6" t="s">
        <v>75</v>
      </c>
      <c r="L40" s="6" cm="1" t="str">
        <f t="array" ref="L40">IF(C40="","",IF(K40="Mort / Plus rien à faire","KO","OK"))</f>
        <v>OK</v>
      </c>
      <c r="M40" s="13">
        <v>46139.630578703705</v>
      </c>
      <c r="N40" s="13" cm="1" t="n">
        <f t="array" ref="N40">IF(OR(C40="",M40="",M40=0),"",M40)</f>
        <v>46139.630578703705</v>
      </c>
      <c r="O40" s="13">
</c>
      <c r="P40" s="13" cm="1" t="str">
        <f t="array" ref="P40">IF(C40="","",IF(OR(O40="",O40=0),"-",O40))</f>
        <v>-</v>
      </c>
      <c r="Q40" s="14">
        <v>0</v>
      </c>
      <c r="R40" s="6" cm="1" t="str">
        <f t="array" ref="R40">IF(C40="","",ROUND(Q40/1000000,3)&amp;" M€")</f>
        <v>0 M€</v>
      </c>
      <c r="S40" s="15">
        <v>10</v>
      </c>
      <c r="T40" s="6" cm="1" t="str">
        <f t="array" ref="T40">IF(C40="","",SUBSTITUTE(S40,"","")&amp;"%")</f>
        <v>10%</v>
      </c>
      <c r="U40" s="12" cm="1" t="str">
        <f t="array" ref="U40">IF(($N40="")*($P40=""),"",IF(($N40&lt;&gt;"")*($N40&gt;TODAY()-9)*($N40&lt;TODAY()+1)*($P40&lt;&gt;"")*($P40&gt;=TODAY())*($P40&lt;=TODAY()+13),"Semaine passée &amp; à venir",IF(($N40&lt;&gt;"")*($N40&gt;TODAY()-9)*($N40&lt;TODAY()+1),"Semaine passée",IF(($P40&lt;&gt;"")*($P40&gt;=TODAY())*($P40&lt;=TODAY()+13),"À venir","Autre"))))</f>
        <v>Autre</v>
      </c>
      <c r="V40" s="5" cm="1" t="n">
        <f t="array" ref="V40">IF(C40&lt;&gt;"",1,0)</f>
        <v>1</v>
      </c>
      <c r="W40" s="5">
</c>
      <c r="X40" s="5">
</c>
      <c r="Y40" s="5">
</c>
      <c r="Z40" s="5">
</c>
      <c r="AA40" s="5">
</c>
      <c r="AB40" s="5">
</c>
      <c r="AC40" s="5">
</c>
      <c r="AD40" s="5">
</c>
      <c r="AE40" s="5">
</c>
      <c r="AF40" s="5">
</c>
      <c r="AG40" s="5">
</c>
      <c r="AH40" s="5">
</c>
      <c r="AI40" s="5">
</c>
      <c r="AJ40" s="5">
</c>
      <c r="AK40" s="5">
</c>
    </row>
    <row r="41" ht="65.25" customHeight="1">
      <c r="A41" s="6" t="s">
        <v>23</v>
      </c>
      <c r="B41" s="6" t="s">
        <v>76</v>
      </c>
      <c r="C41" s="11" t="s">
        <v>154</v>
      </c>
      <c r="D41" s="11" t="s">
        <v>155</v>
      </c>
      <c r="E41" s="6" t="s">
        <v>57</v>
      </c>
      <c r="F41" s="6" t="s">
        <v>156</v>
      </c>
      <c r="G41" s="6" cm="1" t="str">
        <f t="array" ref="G41">IF(F41="","",SUBSTITUTE(SUBSTITUTE(SUBSTITUTE(SUBSTITUTE(F41,"&lt;li&gt;",CHAR(10)),"&lt;/li&gt;",""),"&lt;br&gt;",CHAR(10)),"&lt;strong&gt;",""))</f>
        <v>&lt;p&gt;Nouvelle piste créée équipe Ventes. Enrichissement impossible (email invalide). Déjà pitché mais pas à ce niveau, à recontacter par LG. Pas d'autres actions ou retours prospect. Prochaine étape&amp;nbsp;: prise de contact par LG. Aucun retour prospect sur fonds présentés à ce stade.&lt;/p&gt;</v>
      </c>
      <c r="H41" s="6" cm="1" t="str">
        <f t="array" ref="H41">IF(G41="","",SUBSTITUTE(SUBSTITUTE(SUBSTITUTE(SUBSTITUTE(SUBSTITUTE(G41,"&lt;p&gt;",""),"&lt;/p&gt;",""),"&lt;ul&gt;",""),"&lt;/ul&gt;",""),"&lt;/strong&gt;",""))</f>
        <v>Nouvelle piste créée équipe Ventes. Enrichissement impossible (email invalide). Déjà pitché mais pas à ce niveau, à recontacter par LG. Pas d'autres actions ou retours prospect. Prochaine étape&amp;nbsp;: prise de contact par LG. Aucun retour prospect sur fonds présentés à ce stade.</v>
      </c>
      <c r="I41" s="12" cm="1" t="str">
        <f t="array" ref="I41">IF(C41="","",IF(OR(H41="",H41=0,H41=FALSE),"-",H41))</f>
        <v>Nouvelle piste créée équipe Ventes. Enrichissement impossible (email invalide). Déjà pitché mais pas à ce niveau, à recontacter par LG. Pas d'autres actions ou retours prospect. Prochaine étape&amp;nbsp;: prise de contact par LG. Aucun retour prospect sur fonds présentés à ce stade.</v>
      </c>
      <c r="J41" s="6">
</c>
      <c r="K41" s="6" t="s">
        <v>75</v>
      </c>
      <c r="L41" s="6" cm="1" t="str">
        <f t="array" ref="L41">IF(C41="","",IF(K41="Mort / Plus rien à faire","KO","OK"))</f>
        <v>OK</v>
      </c>
      <c r="M41" s="13">
        <v>46139.63013888889</v>
      </c>
      <c r="N41" s="13" cm="1" t="n">
        <f t="array" ref="N41">IF(OR(C41="",M41="",M41=0),"",M41)</f>
        <v>46139.63013888889</v>
      </c>
      <c r="O41" s="13">
</c>
      <c r="P41" s="13" cm="1" t="str">
        <f t="array" ref="P41">IF(C41="","",IF(OR(O41="",O41=0),"-",O41))</f>
        <v>-</v>
      </c>
      <c r="Q41" s="14">
        <v>0</v>
      </c>
      <c r="R41" s="6" cm="1" t="str">
        <f t="array" ref="R41">IF(C41="","",ROUND(Q41/1000000,3)&amp;" M€")</f>
        <v>0 M€</v>
      </c>
      <c r="S41" s="15">
        <v>10</v>
      </c>
      <c r="T41" s="6" cm="1" t="str">
        <f t="array" ref="T41">IF(C41="","",SUBSTITUTE(S41,"","")&amp;"%")</f>
        <v>10%</v>
      </c>
      <c r="U41" s="12" cm="1" t="str">
        <f t="array" ref="U41">IF(($N41="")*($P41=""),"",IF(($N41&lt;&gt;"")*($N41&gt;TODAY()-9)*($N41&lt;TODAY()+1)*($P41&lt;&gt;"")*($P41&gt;=TODAY())*($P41&lt;=TODAY()+13),"Semaine passée &amp; à venir",IF(($N41&lt;&gt;"")*($N41&gt;TODAY()-9)*($N41&lt;TODAY()+1),"Semaine passée",IF(($P41&lt;&gt;"")*($P41&gt;=TODAY())*($P41&lt;=TODAY()+13),"À venir","Autre"))))</f>
        <v>Autre</v>
      </c>
      <c r="V41" s="5" cm="1" t="n">
        <f t="array" ref="V41">IF(C41&lt;&gt;"",1,0)</f>
        <v>1</v>
      </c>
      <c r="W41" s="5">
</c>
      <c r="X41" s="5">
</c>
      <c r="Y41" s="5">
</c>
      <c r="Z41" s="5">
</c>
      <c r="AA41" s="5">
</c>
      <c r="AB41" s="5">
</c>
      <c r="AC41" s="5">
</c>
      <c r="AD41" s="5">
</c>
      <c r="AE41" s="5">
</c>
      <c r="AF41" s="5">
</c>
      <c r="AG41" s="5">
</c>
      <c r="AH41" s="5">
</c>
      <c r="AI41" s="5">
</c>
      <c r="AJ41" s="5">
</c>
      <c r="AK41" s="5">
</c>
    </row>
    <row r="42" ht="65.25" customHeight="1">
      <c r="A42" s="6" t="s">
        <v>23</v>
      </c>
      <c r="B42" s="6" t="s">
        <v>157</v>
      </c>
      <c r="C42" s="11" t="s">
        <v>158</v>
      </c>
      <c r="D42" s="11" t="s">
        <v>159</v>
      </c>
      <c r="E42" s="6" t="s">
        <v>57</v>
      </c>
      <c r="F42" s="6" t="s">
        <v>160</v>
      </c>
      <c r="G42" s="6" cm="1" t="str">
        <f t="array" ref="G42">IF(F42="","",SUBSTITUTE(SUBSTITUTE(SUBSTITUTE(SUBSTITUTE(F42,"&lt;li&gt;",CHAR(10)),"&lt;/li&gt;",""),"&lt;br&gt;",CHAR(10)),"&lt;strong&gt;",""))</f>
        <v>&lt;p&gt;Nouvelle piste créée équipe Ventes. Enrichissement lead impossible (email invalide). Déjà pitché mais pas à ce niveau, à recontacter par LG. Pas d'autres actions ou retours prospect. Prochaine étape : prise de contact par LG. Aucun passage en comité mentionné.&lt;/p&gt;</v>
      </c>
      <c r="H42" s="6" cm="1" t="str">
        <f t="array" ref="H42">IF(G42="","",SUBSTITUTE(SUBSTITUTE(SUBSTITUTE(SUBSTITUTE(SUBSTITUTE(G42,"&lt;p&gt;",""),"&lt;/p&gt;",""),"&lt;ul&gt;",""),"&lt;/ul&gt;",""),"&lt;/strong&gt;",""))</f>
        <v>Nouvelle piste créée équipe Ventes. Enrichissement lead impossible (email invalide). Déjà pitché mais pas à ce niveau, à recontacter par LG. Pas d'autres actions ou retours prospect. Prochaine étape : prise de contact par LG. Aucun passage en comité mentionné.</v>
      </c>
      <c r="I42" s="12" cm="1" t="str">
        <f t="array" ref="I42">IF(C42="","",IF(OR(H42="",H42=0,H42=FALSE),"-",H42))</f>
        <v>Nouvelle piste créée équipe Ventes. Enrichissement lead impossible (email invalide). Déjà pitché mais pas à ce niveau, à recontacter par LG. Pas d'autres actions ou retours prospect. Prochaine étape : prise de contact par LG. Aucun passage en comité mentionné.</v>
      </c>
      <c r="J42" s="6">
</c>
      <c r="K42" s="6" t="s">
        <v>75</v>
      </c>
      <c r="L42" s="6" cm="1" t="str">
        <f t="array" ref="L42">IF(C42="","",IF(K42="Mort / Plus rien à faire","KO","OK"))</f>
        <v>OK</v>
      </c>
      <c r="M42" s="13">
        <v>46139.629895833335</v>
      </c>
      <c r="N42" s="13" cm="1" t="n">
        <f t="array" ref="N42">IF(OR(C42="",M42="",M42=0),"",M42)</f>
        <v>46139.629895833335</v>
      </c>
      <c r="O42" s="13">
</c>
      <c r="P42" s="13" cm="1" t="str">
        <f t="array" ref="P42">IF(C42="","",IF(OR(O42="",O42=0),"-",O42))</f>
        <v>-</v>
      </c>
      <c r="Q42" s="14">
        <v>0</v>
      </c>
      <c r="R42" s="6" cm="1" t="str">
        <f t="array" ref="R42">IF(C42="","",ROUND(Q42/1000000,3)&amp;" M€")</f>
        <v>0 M€</v>
      </c>
      <c r="S42" s="15">
        <v>10</v>
      </c>
      <c r="T42" s="6" cm="1" t="str">
        <f t="array" ref="T42">IF(C42="","",SUBSTITUTE(S42,"","")&amp;"%")</f>
        <v>10%</v>
      </c>
      <c r="U42" s="12" cm="1" t="str">
        <f t="array" ref="U42">IF(($N42="")*($P42=""),"",IF(($N42&lt;&gt;"")*($N42&gt;TODAY()-9)*($N42&lt;TODAY()+1)*($P42&lt;&gt;"")*($P42&gt;=TODAY())*($P42&lt;=TODAY()+13),"Semaine passée &amp; à venir",IF(($N42&lt;&gt;"")*($N42&gt;TODAY()-9)*($N42&lt;TODAY()+1),"Semaine passée",IF(($P42&lt;&gt;"")*($P42&gt;=TODAY())*($P42&lt;=TODAY()+13),"À venir","Autre"))))</f>
        <v>Autre</v>
      </c>
      <c r="V42" s="5" cm="1" t="n">
        <f t="array" ref="V42">IF(C42&lt;&gt;"",1,0)</f>
        <v>1</v>
      </c>
      <c r="W42" s="5">
</c>
      <c r="X42" s="5">
</c>
      <c r="Y42" s="5">
</c>
      <c r="Z42" s="5">
</c>
      <c r="AA42" s="5">
</c>
      <c r="AB42" s="5">
</c>
      <c r="AC42" s="5">
</c>
      <c r="AD42" s="5">
</c>
      <c r="AE42" s="5">
</c>
      <c r="AF42" s="5">
</c>
      <c r="AG42" s="5">
</c>
      <c r="AH42" s="5">
</c>
      <c r="AI42" s="5">
</c>
      <c r="AJ42" s="5">
</c>
      <c r="AK42" s="5">
</c>
    </row>
    <row r="43" ht="65.25" customHeight="1">
      <c r="A43" s="6" t="s">
        <v>23</v>
      </c>
      <c r="B43" s="6" t="s">
        <v>157</v>
      </c>
      <c r="C43" s="11" t="s">
        <v>161</v>
      </c>
      <c r="D43" s="11" t="s">
        <v>162</v>
      </c>
      <c r="E43" s="6" t="s">
        <v>57</v>
      </c>
      <c r="F43" s="6" t="s">
        <v>163</v>
      </c>
      <c r="G43" s="6" cm="1" t="str">
        <f t="array" ref="G43">IF(F43="","",SUBSTITUTE(SUBSTITUTE(SUBSTITUTE(SUBSTITUTE(F43,"&lt;li&gt;",CHAR(10)),"&lt;/li&gt;",""),"&lt;br&gt;",CHAR(10)),"&lt;strong&gt;",""))</f>
        <v>&lt;p&gt;Piste créée pour équipe Ventes, lead de LG, pitché par Thomas Guyot, à recontacter par LG. Tentative d'enrichissement échouée (email invalide). Pas d'activité ou de suivi supplémentaire enregistré, prochaines étapes non précisées.&lt;/p&gt;</v>
      </c>
      <c r="H43" s="6" cm="1" t="str">
        <f t="array" ref="H43">IF(G43="","",SUBSTITUTE(SUBSTITUTE(SUBSTITUTE(SUBSTITUTE(SUBSTITUTE(G43,"&lt;p&gt;",""),"&lt;/p&gt;",""),"&lt;ul&gt;",""),"&lt;/ul&gt;",""),"&lt;/strong&gt;",""))</f>
        <v>Piste créée pour équipe Ventes, lead de LG, pitché par Thomas Guyot, à recontacter par LG. Tentative d'enrichissement échouée (email invalide). Pas d'activité ou de suivi supplémentaire enregistré, prochaines étapes non précisées.</v>
      </c>
      <c r="I43" s="12" cm="1" t="str">
        <f t="array" ref="I43">IF(C43="","",IF(OR(H43="",H43=0,H43=FALSE),"-",H43))</f>
        <v>Piste créée pour équipe Ventes, lead de LG, pitché par Thomas Guyot, à recontacter par LG. Tentative d'enrichissement échouée (email invalide). Pas d'activité ou de suivi supplémentaire enregistré, prochaines étapes non précisées.</v>
      </c>
      <c r="J43" s="6">
</c>
      <c r="K43" s="6" t="s">
        <v>75</v>
      </c>
      <c r="L43" s="6" cm="1" t="str">
        <f t="array" ref="L43">IF(C43="","",IF(K43="Mort / Plus rien à faire","KO","OK"))</f>
        <v>OK</v>
      </c>
      <c r="M43" s="13">
        <v>46146.691655092596</v>
      </c>
      <c r="N43" s="13" cm="1" t="n">
        <f t="array" ref="N43">IF(OR(C43="",M43="",M43=0),"",M43)</f>
        <v>46146.691655092596</v>
      </c>
      <c r="O43" s="13">
</c>
      <c r="P43" s="13" cm="1" t="str">
        <f t="array" ref="P43">IF(C43="","",IF(OR(O43="",O43=0),"-",O43))</f>
        <v>-</v>
      </c>
      <c r="Q43" s="14">
        <v>0</v>
      </c>
      <c r="R43" s="6" cm="1" t="str">
        <f t="array" ref="R43">IF(C43="","",ROUND(Q43/1000000,3)&amp;" M€")</f>
        <v>0 M€</v>
      </c>
      <c r="S43" s="15">
        <v>10</v>
      </c>
      <c r="T43" s="6" cm="1" t="str">
        <f t="array" ref="T43">IF(C43="","",SUBSTITUTE(S43,"","")&amp;"%")</f>
        <v>10%</v>
      </c>
      <c r="U43" s="12" cm="1" t="str">
        <f t="array" ref="U43">IF(($N43="")*($P43=""),"",IF(($N43&lt;&gt;"")*($N43&gt;TODAY()-9)*($N43&lt;TODAY()+1)*($P43&lt;&gt;"")*($P43&gt;=TODAY())*($P43&lt;=TODAY()+13),"Semaine passée &amp; à venir",IF(($N43&lt;&gt;"")*($N43&gt;TODAY()-9)*($N43&lt;TODAY()+1),"Semaine passée",IF(($P43&lt;&gt;"")*($P43&gt;=TODAY())*($P43&lt;=TODAY()+13),"À venir","Autre"))))</f>
        <v>Autre</v>
      </c>
      <c r="V43" s="5" cm="1" t="n">
        <f t="array" ref="V43">IF(C43&lt;&gt;"",1,0)</f>
        <v>1</v>
      </c>
      <c r="W43" s="5">
</c>
      <c r="X43" s="5">
</c>
      <c r="Y43" s="5">
</c>
      <c r="Z43" s="5">
</c>
      <c r="AA43" s="5">
</c>
      <c r="AB43" s="5">
</c>
      <c r="AC43" s="5">
</c>
      <c r="AD43" s="5">
</c>
      <c r="AE43" s="5">
</c>
      <c r="AF43" s="5">
</c>
      <c r="AG43" s="5">
</c>
      <c r="AH43" s="5">
</c>
      <c r="AI43" s="5">
</c>
      <c r="AJ43" s="5">
</c>
      <c r="AK43" s="5">
</c>
    </row>
    <row r="44" ht="65.25" customHeight="1">
      <c r="A44" s="6" t="s">
        <v>23</v>
      </c>
      <c r="B44" s="6" t="s">
        <v>157</v>
      </c>
      <c r="C44" s="11" t="s">
        <v>164</v>
      </c>
      <c r="D44" s="11" t="s">
        <v>165</v>
      </c>
      <c r="E44" s="6" t="s">
        <v>57</v>
      </c>
      <c r="F44" s="6" t="s">
        <v>166</v>
      </c>
      <c r="G44" s="6" cm="1" t="str">
        <f t="array" ref="G44">IF(F44="","",SUBSTITUTE(SUBSTITUTE(SUBSTITUTE(SUBSTITUTE(F44,"&lt;li&gt;",CHAR(10)),"&lt;/li&gt;",""),"&lt;br&gt;",CHAR(10)),"&lt;strong&gt;",""))</f>
        <v>&lt;p&gt;Nouvelle piste créée équipe Ventes. Enrichissement impossible (email non valide). Prospect déjà pitché, à recontacter par LG. Pas d'autres actions ou retours prospect mentionnés. Prochaines étapes&amp;nbsp;: relance à prévoir par LG. Pas d'indication sur avis prospect ou contexte création piste.&lt;/p&gt;</v>
      </c>
      <c r="H44" s="6" cm="1" t="str">
        <f t="array" ref="H44">IF(G44="","",SUBSTITUTE(SUBSTITUTE(SUBSTITUTE(SUBSTITUTE(SUBSTITUTE(G44,"&lt;p&gt;",""),"&lt;/p&gt;",""),"&lt;ul&gt;",""),"&lt;/ul&gt;",""),"&lt;/strong&gt;",""))</f>
        <v>Nouvelle piste créée équipe Ventes. Enrichissement impossible (email non valide). Prospect déjà pitché, à recontacter par LG. Pas d'autres actions ou retours prospect mentionnés. Prochaines étapes&amp;nbsp;: relance à prévoir par LG. Pas d'indication sur avis prospect ou contexte création piste.</v>
      </c>
      <c r="I44" s="12" cm="1" t="str">
        <f t="array" ref="I44">IF(C44="","",IF(OR(H44="",H44=0,H44=FALSE),"-",H44))</f>
        <v>Nouvelle piste créée équipe Ventes. Enrichissement impossible (email non valide). Prospect déjà pitché, à recontacter par LG. Pas d'autres actions ou retours prospect mentionnés. Prochaines étapes&amp;nbsp;: relance à prévoir par LG. Pas d'indication sur avis prospect ou contexte création piste.</v>
      </c>
      <c r="J44" s="6">
</c>
      <c r="K44" s="6" t="s">
        <v>75</v>
      </c>
      <c r="L44" s="6" cm="1" t="str">
        <f t="array" ref="L44">IF(C44="","",IF(K44="Mort / Plus rien à faire","KO","OK"))</f>
        <v>OK</v>
      </c>
      <c r="M44" s="13">
        <v>46139.62961805556</v>
      </c>
      <c r="N44" s="13" cm="1" t="n">
        <f t="array" ref="N44">IF(OR(C44="",M44="",M44=0),"",M44)</f>
        <v>46139.62961805556</v>
      </c>
      <c r="O44" s="13">
</c>
      <c r="P44" s="13" cm="1" t="str">
        <f t="array" ref="P44">IF(C44="","",IF(OR(O44="",O44=0),"-",O44))</f>
        <v>-</v>
      </c>
      <c r="Q44" s="14">
        <v>0</v>
      </c>
      <c r="R44" s="6" cm="1" t="str">
        <f t="array" ref="R44">IF(C44="","",ROUND(Q44/1000000,3)&amp;" M€")</f>
        <v>0 M€</v>
      </c>
      <c r="S44" s="15">
        <v>10</v>
      </c>
      <c r="T44" s="6" cm="1" t="str">
        <f t="array" ref="T44">IF(C44="","",SUBSTITUTE(S44,"","")&amp;"%")</f>
        <v>10%</v>
      </c>
      <c r="U44" s="12" cm="1" t="str">
        <f t="array" ref="U44">IF(($N44="")*($P44=""),"",IF(($N44&lt;&gt;"")*($N44&gt;TODAY()-9)*($N44&lt;TODAY()+1)*($P44&lt;&gt;"")*($P44&gt;=TODAY())*($P44&lt;=TODAY()+13),"Semaine passée &amp; à venir",IF(($N44&lt;&gt;"")*($N44&gt;TODAY()-9)*($N44&lt;TODAY()+1),"Semaine passée",IF(($P44&lt;&gt;"")*($P44&gt;=TODAY())*($P44&lt;=TODAY()+13),"À venir","Autre"))))</f>
        <v>Autre</v>
      </c>
      <c r="V44" s="5" cm="1" t="n">
        <f t="array" ref="V44">IF(C44&lt;&gt;"",1,0)</f>
        <v>1</v>
      </c>
      <c r="W44" s="5">
</c>
      <c r="X44" s="5">
</c>
      <c r="Y44" s="5">
</c>
      <c r="Z44" s="5">
</c>
      <c r="AA44" s="5">
</c>
      <c r="AB44" s="5">
</c>
      <c r="AC44" s="5">
</c>
      <c r="AD44" s="5">
</c>
      <c r="AE44" s="5">
</c>
      <c r="AF44" s="5">
</c>
      <c r="AG44" s="5">
</c>
      <c r="AH44" s="5">
</c>
      <c r="AI44" s="5">
</c>
      <c r="AJ44" s="5">
</c>
      <c r="AK44" s="5">
</c>
    </row>
    <row r="45" ht="65.25" customHeight="1">
      <c r="A45" s="6" t="s">
        <v>23</v>
      </c>
      <c r="B45" s="6" t="s">
        <v>157</v>
      </c>
      <c r="C45" s="11" t="s">
        <v>167</v>
      </c>
      <c r="D45" s="11" t="s">
        <v>168</v>
      </c>
      <c r="E45" s="6" t="s">
        <v>57</v>
      </c>
      <c r="F45" s="6" t="s">
        <v>169</v>
      </c>
      <c r="G45" s="6" cm="1" t="str">
        <f t="array" ref="G45">IF(F45="","",SUBSTITUTE(SUBSTITUTE(SUBSTITUTE(SUBSTITUTE(F45,"&lt;li&gt;",CHAR(10)),"&lt;/li&gt;",""),"&lt;br&gt;",CHAR(10)),"&lt;strong&gt;",""))</f>
        <v>&lt;p&gt;Nouvelle piste créée pour équipe Ventes. Enrichissement lead impossible (email invalide). Prospect déjà pitché, à recontacter par LG. Pas d'autres actions ni retours prospect sur fonds présentés. Prochaine étape&amp;nbsp;: prise de contact par LG. Aucun passage en comité mentionné.&lt;/p&gt;</v>
      </c>
      <c r="H45" s="6" cm="1" t="str">
        <f t="array" ref="H45">IF(G45="","",SUBSTITUTE(SUBSTITUTE(SUBSTITUTE(SUBSTITUTE(SUBSTITUTE(G45,"&lt;p&gt;",""),"&lt;/p&gt;",""),"&lt;ul&gt;",""),"&lt;/ul&gt;",""),"&lt;/strong&gt;",""))</f>
        <v>Nouvelle piste créée pour équipe Ventes. Enrichissement lead impossible (email invalide). Prospect déjà pitché, à recontacter par LG. Pas d'autres actions ni retours prospect sur fonds présentés. Prochaine étape&amp;nbsp;: prise de contact par LG. Aucun passage en comité mentionné.</v>
      </c>
      <c r="I45" s="12" cm="1" t="str">
        <f t="array" ref="I45">IF(C45="","",IF(OR(H45="",H45=0,H45=FALSE),"-",H45))</f>
        <v>Nouvelle piste créée pour équipe Ventes. Enrichissement lead impossible (email invalide). Prospect déjà pitché, à recontacter par LG. Pas d'autres actions ni retours prospect sur fonds présentés. Prochaine étape&amp;nbsp;: prise de contact par LG. Aucun passage en comité mentionné.</v>
      </c>
      <c r="J45" s="6">
</c>
      <c r="K45" s="6" t="s">
        <v>75</v>
      </c>
      <c r="L45" s="6" cm="1" t="str">
        <f t="array" ref="L45">IF(C45="","",IF(K45="Mort / Plus rien à faire","KO","OK"))</f>
        <v>OK</v>
      </c>
      <c r="M45" s="13">
        <v>46139.62944444444</v>
      </c>
      <c r="N45" s="13" cm="1" t="n">
        <f t="array" ref="N45">IF(OR(C45="",M45="",M45=0),"",M45)</f>
        <v>46139.62944444444</v>
      </c>
      <c r="O45" s="13">
</c>
      <c r="P45" s="13" cm="1" t="str">
        <f t="array" ref="P45">IF(C45="","",IF(OR(O45="",O45=0),"-",O45))</f>
        <v>-</v>
      </c>
      <c r="Q45" s="14">
        <v>0</v>
      </c>
      <c r="R45" s="6" cm="1" t="str">
        <f t="array" ref="R45">IF(C45="","",ROUND(Q45/1000000,3)&amp;" M€")</f>
        <v>0 M€</v>
      </c>
      <c r="S45" s="15">
        <v>10</v>
      </c>
      <c r="T45" s="6" cm="1" t="str">
        <f t="array" ref="T45">IF(C45="","",SUBSTITUTE(S45,"","")&amp;"%")</f>
        <v>10%</v>
      </c>
      <c r="U45" s="12" cm="1" t="str">
        <f t="array" ref="U45">IF(($N45="")*($P45=""),"",IF(($N45&lt;&gt;"")*($N45&gt;TODAY()-9)*($N45&lt;TODAY()+1)*($P45&lt;&gt;"")*($P45&gt;=TODAY())*($P45&lt;=TODAY()+13),"Semaine passée &amp; à venir",IF(($N45&lt;&gt;"")*($N45&gt;TODAY()-9)*($N45&lt;TODAY()+1),"Semaine passée",IF(($P45&lt;&gt;"")*($P45&gt;=TODAY())*($P45&lt;=TODAY()+13),"À venir","Autre"))))</f>
        <v>Autre</v>
      </c>
      <c r="V45" s="5" cm="1" t="n">
        <f t="array" ref="V45">IF(C45&lt;&gt;"",1,0)</f>
        <v>1</v>
      </c>
      <c r="W45" s="5">
</c>
      <c r="X45" s="5">
</c>
      <c r="Y45" s="5">
</c>
      <c r="Z45" s="5">
</c>
      <c r="AA45" s="5">
</c>
      <c r="AB45" s="5">
</c>
      <c r="AC45" s="5">
</c>
      <c r="AD45" s="5">
</c>
      <c r="AE45" s="5">
</c>
      <c r="AF45" s="5">
</c>
      <c r="AG45" s="5">
</c>
      <c r="AH45" s="5">
</c>
      <c r="AI45" s="5">
</c>
      <c r="AJ45" s="5">
</c>
      <c r="AK45" s="5">
</c>
    </row>
    <row r="46" ht="65.25" customHeight="1">
      <c r="A46" s="6" t="s">
        <v>23</v>
      </c>
      <c r="B46" s="6" t="s">
        <v>157</v>
      </c>
      <c r="C46" s="11" t="s">
        <v>170</v>
      </c>
      <c r="D46" s="11" t="s">
        <v>171</v>
      </c>
      <c r="E46" s="6" t="s">
        <v>57</v>
      </c>
      <c r="F46" s="6" t="s">
        <v>172</v>
      </c>
      <c r="G46" s="6" cm="1" t="str">
        <f t="array" ref="G46">IF(F46="","",SUBSTITUTE(SUBSTITUTE(SUBSTITUTE(SUBSTITUTE(F46,"&lt;li&gt;",CHAR(10)),"&lt;/li&gt;",""),"&lt;br&gt;",CHAR(10)),"&lt;strong&gt;",""))</f>
        <v>&lt;p&gt;Contact ARKEA effectué par LG, incluant Julien Carmona. Enrichissement lead impossible (email invalide). Nouvelle piste créée pour équipe Ventes. Dernière activité notable&amp;nbsp;: préparation réunion stratégique (février STRATON&amp;lt;&amp;gt;SLPE EXPANSION). Prochaine étape&amp;nbsp;: organiser réunion, échéance 14/01/2026.&lt;/p&gt;</v>
      </c>
      <c r="H46" s="6" cm="1" t="str">
        <f t="array" ref="H46">IF(G46="","",SUBSTITUTE(SUBSTITUTE(SUBSTITUTE(SUBSTITUTE(SUBSTITUTE(G46,"&lt;p&gt;",""),"&lt;/p&gt;",""),"&lt;ul&gt;",""),"&lt;/ul&gt;",""),"&lt;/strong&gt;",""))</f>
        <v>Contact ARKEA effectué par LG, incluant Julien Carmona. Enrichissement lead impossible (email invalide). Nouvelle piste créée pour équipe Ventes. Dernière activité notable&amp;nbsp;: préparation réunion stratégique (février STRATON&amp;lt;&amp;gt;SLPE EXPANSION). Prochaine étape&amp;nbsp;: organiser réunion, échéance 14/01/2026.</v>
      </c>
      <c r="I46" s="12" cm="1" t="str">
        <f t="array" ref="I46">IF(C46="","",IF(OR(H46="",H46=0,H46=FALSE),"-",H46))</f>
        <v>Contact ARKEA effectué par LG, incluant Julien Carmona. Enrichissement lead impossible (email invalide). Nouvelle piste créée pour équipe Ventes. Dernière activité notable&amp;nbsp;: préparation réunion stratégique (février STRATON&amp;lt;&amp;gt;SLPE EXPANSION). Prochaine étape&amp;nbsp;: organiser réunion, échéance 14/01/2026.</v>
      </c>
      <c r="J46" s="6">
</c>
      <c r="K46" s="6" t="s">
        <v>75</v>
      </c>
      <c r="L46" s="6" cm="1" t="str">
        <f t="array" ref="L46">IF(C46="","",IF(K46="Mort / Plus rien à faire","KO","OK"))</f>
        <v>OK</v>
      </c>
      <c r="M46" s="13">
        <v>46139.587800925925</v>
      </c>
      <c r="N46" s="13" cm="1" t="n">
        <f t="array" ref="N46">IF(OR(C46="",M46="",M46=0),"",M46)</f>
        <v>46139.587800925925</v>
      </c>
      <c r="O46" s="13">
</c>
      <c r="P46" s="13" cm="1" t="str">
        <f t="array" ref="P46">IF(C46="","",IF(OR(O46="",O46=0),"-",O46))</f>
        <v>-</v>
      </c>
      <c r="Q46" s="14">
        <v>0</v>
      </c>
      <c r="R46" s="6" cm="1" t="str">
        <f t="array" ref="R46">IF(C46="","",ROUND(Q46/1000000,3)&amp;" M€")</f>
        <v>0 M€</v>
      </c>
      <c r="S46" s="15">
        <v>10</v>
      </c>
      <c r="T46" s="6" cm="1" t="str">
        <f t="array" ref="T46">IF(C46="","",SUBSTITUTE(S46,"","")&amp;"%")</f>
        <v>10%</v>
      </c>
      <c r="U46" s="12" cm="1" t="str">
        <f t="array" ref="U46">IF(($N46="")*($P46=""),"",IF(($N46&lt;&gt;"")*($N46&gt;TODAY()-9)*($N46&lt;TODAY()+1)*($P46&lt;&gt;"")*($P46&gt;=TODAY())*($P46&lt;=TODAY()+13),"Semaine passée &amp; à venir",IF(($N46&lt;&gt;"")*($N46&gt;TODAY()-9)*($N46&lt;TODAY()+1),"Semaine passée",IF(($P46&lt;&gt;"")*($P46&gt;=TODAY())*($P46&lt;=TODAY()+13),"À venir","Autre"))))</f>
        <v>Autre</v>
      </c>
      <c r="V46" s="5" cm="1" t="n">
        <f t="array" ref="V46">IF(C46&lt;&gt;"",1,0)</f>
        <v>1</v>
      </c>
      <c r="W46" s="5">
</c>
      <c r="X46" s="5">
</c>
      <c r="Y46" s="5">
</c>
      <c r="Z46" s="5">
</c>
      <c r="AA46" s="5">
</c>
      <c r="AB46" s="5">
</c>
      <c r="AC46" s="5">
</c>
      <c r="AD46" s="5">
</c>
      <c r="AE46" s="5">
</c>
      <c r="AF46" s="5">
</c>
      <c r="AG46" s="5">
</c>
      <c r="AH46" s="5">
</c>
      <c r="AI46" s="5">
</c>
      <c r="AJ46" s="5">
</c>
      <c r="AK46" s="5">
</c>
    </row>
    <row r="47" ht="65.25" customHeight="1">
      <c r="A47" s="6" t="s">
        <v>23</v>
      </c>
      <c r="B47" s="6" t="s">
        <v>157</v>
      </c>
      <c r="C47" s="11" t="s">
        <v>173</v>
      </c>
      <c r="D47" s="11" t="s">
        <v>174</v>
      </c>
      <c r="E47" s="6" t="s">
        <v>57</v>
      </c>
      <c r="F47" s="6" t="s">
        <v>175</v>
      </c>
      <c r="G47" s="6" cm="1" t="str">
        <f t="array" ref="G47">IF(F47="","",SUBSTITUTE(SUBSTITUTE(SUBSTITUTE(SUBSTITUTE(F47,"&lt;li&gt;",CHAR(10)),"&lt;/li&gt;",""),"&lt;br&gt;",CHAR(10)),"&lt;strong&gt;",""))</f>
        <v>&lt;p&gt;Nouvelle piste créée pour équipe Ventes. Prospect déjà pitché, à recontacter par LG. Pas d'autres actions ou retours prospect mentionnés. Prochaine étape : prise de contact par LG. Aucune conclusion prospect ni passage en comité signalés dans les échanges.&lt;/p&gt;</v>
      </c>
      <c r="H47" s="6" cm="1" t="str">
        <f t="array" ref="H47">IF(G47="","",SUBSTITUTE(SUBSTITUTE(SUBSTITUTE(SUBSTITUTE(SUBSTITUTE(G47,"&lt;p&gt;",""),"&lt;/p&gt;",""),"&lt;ul&gt;",""),"&lt;/ul&gt;",""),"&lt;/strong&gt;",""))</f>
        <v>Nouvelle piste créée pour équipe Ventes. Prospect déjà pitché, à recontacter par LG. Pas d'autres actions ou retours prospect mentionnés. Prochaine étape : prise de contact par LG. Aucune conclusion prospect ni passage en comité signalés dans les échanges.</v>
      </c>
      <c r="I47" s="12" cm="1" t="str">
        <f t="array" ref="I47">IF(C47="","",IF(OR(H47="",H47=0,H47=FALSE),"-",H47))</f>
        <v>Nouvelle piste créée pour équipe Ventes. Prospect déjà pitché, à recontacter par LG. Pas d'autres actions ou retours prospect mentionnés. Prochaine étape : prise de contact par LG. Aucune conclusion prospect ni passage en comité signalés dans les échanges.</v>
      </c>
      <c r="J47" s="6">
</c>
      <c r="K47" s="6" t="s">
        <v>75</v>
      </c>
      <c r="L47" s="6" cm="1" t="str">
        <f t="array" ref="L47">IF(C47="","",IF(K47="Mort / Plus rien à faire","KO","OK"))</f>
        <v>OK</v>
      </c>
      <c r="M47" s="13">
        <v>46132.58696759259</v>
      </c>
      <c r="N47" s="13" cm="1" t="n">
        <f t="array" ref="N47">IF(OR(C47="",M47="",M47=0),"",M47)</f>
        <v>46132.58696759259</v>
      </c>
      <c r="O47" s="13">
</c>
      <c r="P47" s="13" cm="1" t="str">
        <f t="array" ref="P47">IF(C47="","",IF(OR(O47="",O47=0),"-",O47))</f>
        <v>-</v>
      </c>
      <c r="Q47" s="14">
        <v>0</v>
      </c>
      <c r="R47" s="6" cm="1" t="str">
        <f t="array" ref="R47">IF(C47="","",ROUND(Q47/1000000,3)&amp;" M€")</f>
        <v>0 M€</v>
      </c>
      <c r="S47" s="15">
        <v>10</v>
      </c>
      <c r="T47" s="6" cm="1" t="str">
        <f t="array" ref="T47">IF(C47="","",SUBSTITUTE(S47,"","")&amp;"%")</f>
        <v>10%</v>
      </c>
      <c r="U47" s="12" cm="1" t="str">
        <f t="array" ref="U47">IF(($N47="")*($P47=""),"",IF(($N47&lt;&gt;"")*($N47&gt;TODAY()-9)*($N47&lt;TODAY()+1)*($P47&lt;&gt;"")*($P47&gt;=TODAY())*($P47&lt;=TODAY()+13),"Semaine passée &amp; à venir",IF(($N47&lt;&gt;"")*($N47&gt;TODAY()-9)*($N47&lt;TODAY()+1),"Semaine passée",IF(($P47&lt;&gt;"")*($P47&gt;=TODAY())*($P47&lt;=TODAY()+13),"À venir","Autre"))))</f>
        <v>Autre</v>
      </c>
      <c r="V47" s="5" cm="1" t="n">
        <f t="array" ref="V47">IF(C47&lt;&gt;"",1,0)</f>
        <v>1</v>
      </c>
      <c r="W47" s="5">
</c>
      <c r="X47" s="5">
</c>
      <c r="Y47" s="5">
</c>
      <c r="Z47" s="5">
</c>
      <c r="AA47" s="5">
</c>
      <c r="AB47" s="5">
</c>
      <c r="AC47" s="5">
</c>
      <c r="AD47" s="5">
</c>
      <c r="AE47" s="5">
</c>
      <c r="AF47" s="5">
</c>
      <c r="AG47" s="5">
</c>
      <c r="AH47" s="5">
</c>
      <c r="AI47" s="5">
</c>
      <c r="AJ47" s="5">
</c>
      <c r="AK47" s="5">
</c>
    </row>
    <row r="48" ht="65.25" customHeight="1">
      <c r="A48" s="6" t="s">
        <v>23</v>
      </c>
      <c r="B48" s="6">
</c>
      <c r="C48" s="11" t="s">
        <v>176</v>
      </c>
      <c r="D48" s="11" t="s">
        <v>177</v>
      </c>
      <c r="E48" s="6" t="s">
        <v>57</v>
      </c>
      <c r="F48" s="6" t="s">
        <v>178</v>
      </c>
      <c r="G48" s="6" cm="1" t="str">
        <f t="array" ref="G48">IF(F48="","",SUBSTITUTE(SUBSTITUTE(SUBSTITUTE(SUBSTITUTE(F48,"&lt;li&gt;",CHAR(10)),"&lt;/li&gt;",""),"&lt;br&gt;",CHAR(10)),"&lt;strong&gt;",""))</f>
        <v>&lt;p&gt;04/05/26 : piste créée pour équipe Ventes. RDV physique 27/05/26 avec Jérémy Archinard et Cédric James pour fonds FCPI, prospect gère 30 familles, profil MFO, tickets de plusieurs millions possibles. Doc envoyée, prochaine étape : proposer signature convention de distribution.&lt;/p&gt;</v>
      </c>
      <c r="H48" s="6" cm="1" t="str">
        <f t="array" ref="H48">IF(G48="","",SUBSTITUTE(SUBSTITUTE(SUBSTITUTE(SUBSTITUTE(SUBSTITUTE(G48,"&lt;p&gt;",""),"&lt;/p&gt;",""),"&lt;ul&gt;",""),"&lt;/ul&gt;",""),"&lt;/strong&gt;",""))</f>
        <v>04/05/26 : piste créée pour équipe Ventes. RDV physique 27/05/26 avec Jérémy Archinard et Cédric James pour fonds FCPI, prospect gère 30 familles, profil MFO, tickets de plusieurs millions possibles. Doc envoyée, prochaine étape : proposer signature convention de distribution.</v>
      </c>
      <c r="I48" s="12" cm="1" t="str">
        <f t="array" ref="I48">IF(C48="","",IF(OR(H48="",H48=0,H48=FALSE),"-",H48))</f>
        <v>04/05/26 : piste créée pour équipe Ventes. RDV physique 27/05/26 avec Jérémy Archinard et Cédric James pour fonds FCPI, prospect gère 30 familles, profil MFO, tickets de plusieurs millions possibles. Doc envoyée, prochaine étape : proposer signature convention de distribution.</v>
      </c>
      <c r="J48" s="6" t="s">
        <v>119</v>
      </c>
      <c r="K48" s="6" t="s">
        <v>75</v>
      </c>
      <c r="L48" s="6" cm="1" t="str">
        <f t="array" ref="L48">IF(C48="","",IF(K48="Mort / Plus rien à faire","KO","OK"))</f>
        <v>OK</v>
      </c>
      <c r="M48" s="13">
        <v>46146.437430555554</v>
      </c>
      <c r="N48" s="13" cm="1" t="n">
        <f t="array" ref="N48">IF(OR(C48="",M48="",M48=0),"",M48)</f>
        <v>46146.437430555554</v>
      </c>
      <c r="O48" s="13">
</c>
      <c r="P48" s="13" cm="1" t="str">
        <f t="array" ref="P48">IF(C48="","",IF(OR(O48="",O48=0),"-",O48))</f>
        <v>-</v>
      </c>
      <c r="Q48" s="14">
        <v>0</v>
      </c>
      <c r="R48" s="6" cm="1" t="str">
        <f t="array" ref="R48">IF(C48="","",ROUND(Q48/1000000,3)&amp;" M€")</f>
        <v>0 M€</v>
      </c>
      <c r="S48" s="15">
        <v>10</v>
      </c>
      <c r="T48" s="6" cm="1" t="str">
        <f t="array" ref="T48">IF(C48="","",SUBSTITUTE(S48,"","")&amp;"%")</f>
        <v>10%</v>
      </c>
      <c r="U48" s="12" cm="1" t="str">
        <f t="array" ref="U48">IF(($N48="")*($P48=""),"",IF(($N48&lt;&gt;"")*($N48&gt;TODAY()-9)*($N48&lt;TODAY()+1)*($P48&lt;&gt;"")*($P48&gt;=TODAY())*($P48&lt;=TODAY()+13),"Semaine passée &amp; à venir",IF(($N48&lt;&gt;"")*($N48&gt;TODAY()-9)*($N48&lt;TODAY()+1),"Semaine passée",IF(($P48&lt;&gt;"")*($P48&gt;=TODAY())*($P48&lt;=TODAY()+13),"À venir","Autre"))))</f>
        <v>Autre</v>
      </c>
      <c r="V48" s="5" cm="1" t="n">
        <f t="array" ref="V48">IF(C48&lt;&gt;"",1,0)</f>
        <v>1</v>
      </c>
      <c r="W48" s="5">
</c>
      <c r="X48" s="5">
</c>
      <c r="Y48" s="5">
</c>
      <c r="Z48" s="5">
</c>
      <c r="AA48" s="5">
</c>
      <c r="AB48" s="5">
</c>
      <c r="AC48" s="5">
</c>
      <c r="AD48" s="5">
</c>
      <c r="AE48" s="5">
</c>
      <c r="AF48" s="5">
</c>
      <c r="AG48" s="5">
</c>
      <c r="AH48" s="5">
</c>
      <c r="AI48" s="5">
</c>
      <c r="AJ48" s="5">
</c>
      <c r="AK48" s="5">
</c>
    </row>
    <row r="49" ht="65.25" customHeight="1">
      <c r="A49" s="6" t="s">
        <v>23</v>
      </c>
      <c r="B49" s="6" t="s">
        <v>24</v>
      </c>
      <c r="C49" s="11" t="s">
        <v>179</v>
      </c>
      <c r="D49" s="11" t="s">
        <v>180</v>
      </c>
      <c r="E49" s="6" t="s">
        <v>27</v>
      </c>
      <c r="F49" s="6" t="s">
        <v>181</v>
      </c>
      <c r="G49" s="6" cm="1" t="str">
        <f t="array" ref="G49">IF(F49="","",SUBSTITUTE(SUBSTITUTE(SUBSTITUTE(SUBSTITUTE(F49,"&lt;li&gt;",CHAR(10)),"&lt;/li&gt;",""),"&lt;br&gt;",CHAR(10)),"&lt;strong&gt;",""))</f>
        <v>&lt;p&gt;Rencontre Véronique Yang au Salon Next Gen Patrimoine 16/04. Mail follow-up envoyé, proposition RDV avec Cédric et PC. Relance feedback, RDV planifié avec Marwan Ali. Dernières actions : échanges mails, appels, suivi post-salon. Prochaine étape : RDV collaborateur Marwan Ali.&lt;/p&gt;</v>
      </c>
      <c r="H49" s="6" cm="1" t="str">
        <f t="array" ref="H49">IF(G49="","",SUBSTITUTE(SUBSTITUTE(SUBSTITUTE(SUBSTITUTE(SUBSTITUTE(G49,"&lt;p&gt;",""),"&lt;/p&gt;",""),"&lt;ul&gt;",""),"&lt;/ul&gt;",""),"&lt;/strong&gt;",""))</f>
        <v>Rencontre Véronique Yang au Salon Next Gen Patrimoine 16/04. Mail follow-up envoyé, proposition RDV avec Cédric et PC. Relance feedback, RDV planifié avec Marwan Ali. Dernières actions : échanges mails, appels, suivi post-salon. Prochaine étape : RDV collaborateur Marwan Ali.</v>
      </c>
      <c r="I49" s="12" cm="1" t="str">
        <f t="array" ref="I49">IF(C49="","",IF(OR(H49="",H49=0,H49=FALSE),"-",H49))</f>
        <v>Rencontre Véronique Yang au Salon Next Gen Patrimoine 16/04. Mail follow-up envoyé, proposition RDV avec Cédric et PC. Relance feedback, RDV planifié avec Marwan Ali. Dernières actions : échanges mails, appels, suivi post-salon. Prochaine étape : RDV collaborateur Marwan Ali.</v>
      </c>
      <c r="J49" s="6">
</c>
      <c r="K49" s="6" t="s">
        <v>75</v>
      </c>
      <c r="L49" s="6" cm="1" t="str">
        <f t="array" ref="L49">IF(C49="","",IF(K49="Mort / Plus rien à faire","KO","OK"))</f>
        <v>OK</v>
      </c>
      <c r="M49" s="13">
        <v>46161.754953703705</v>
      </c>
      <c r="N49" s="13" cm="1" t="n">
        <f t="array" ref="N49">IF(OR(C49="",M49="",M49=0),"",M49)</f>
        <v>46161.754953703705</v>
      </c>
      <c r="O49" s="13">
</c>
      <c r="P49" s="13" cm="1" t="str">
        <f t="array" ref="P49">IF(C49="","",IF(OR(O49="",O49=0),"-",O49))</f>
        <v>-</v>
      </c>
      <c r="Q49" s="14">
        <v>0</v>
      </c>
      <c r="R49" s="6" cm="1" t="str">
        <f t="array" ref="R49">IF(C49="","",ROUND(Q49/1000000,3)&amp;" M€")</f>
        <v>0 M€</v>
      </c>
      <c r="S49" s="15">
        <v>10</v>
      </c>
      <c r="T49" s="6" cm="1" t="str">
        <f t="array" ref="T49">IF(C49="","",SUBSTITUTE(S49,"","")&amp;"%")</f>
        <v>10%</v>
      </c>
      <c r="U49" s="12" cm="1" t="str">
        <f t="array" ref="U49">IF(($N49="")*($P49=""),"",IF(($N49&lt;&gt;"")*($N49&gt;TODAY()-9)*($N49&lt;TODAY()+1)*($P49&lt;&gt;"")*($P49&gt;=TODAY())*($P49&lt;=TODAY()+13),"Semaine passée &amp; à venir",IF(($N49&lt;&gt;"")*($N49&gt;TODAY()-9)*($N49&lt;TODAY()+1),"Semaine passée",IF(($P49&lt;&gt;"")*($P49&gt;=TODAY())*($P49&lt;=TODAY()+13),"À venir","Autre"))))</f>
        <v>Autre</v>
      </c>
      <c r="V49" s="5" cm="1" t="n">
        <f t="array" ref="V49">IF(C49&lt;&gt;"",1,0)</f>
        <v>1</v>
      </c>
      <c r="W49" s="5">
</c>
      <c r="X49" s="5">
</c>
      <c r="Y49" s="5">
</c>
      <c r="Z49" s="5">
</c>
      <c r="AA49" s="5">
</c>
      <c r="AB49" s="5">
</c>
      <c r="AC49" s="5">
</c>
      <c r="AD49" s="5">
</c>
      <c r="AE49" s="5">
</c>
      <c r="AF49" s="5">
</c>
      <c r="AG49" s="5">
</c>
      <c r="AH49" s="5">
</c>
      <c r="AI49" s="5">
</c>
      <c r="AJ49" s="5">
</c>
      <c r="AK49" s="5">
</c>
    </row>
    <row r="50" ht="65.25" customHeight="1">
      <c r="A50" s="6" t="s">
        <v>23</v>
      </c>
      <c r="B50" s="6" t="s">
        <v>157</v>
      </c>
      <c r="C50" s="11" t="s">
        <v>182</v>
      </c>
      <c r="D50" s="11" t="s">
        <v>183</v>
      </c>
      <c r="E50" s="6" t="s">
        <v>27</v>
      </c>
      <c r="F50" s="6" t="s">
        <v>184</v>
      </c>
      <c r="G50" s="6" cm="1" t="str">
        <f t="array" ref="G50">IF(F50="","",SUBSTITUTE(SUBSTITUTE(SUBSTITUTE(SUBSTITUTE(F50,"&lt;li&gt;",CHAR(10)),"&lt;/li&gt;",""),"&lt;br&gt;",CHAR(10)),"&lt;strong&gt;",""))</f>
        <v>&lt;p&gt;Déj. 14/10/25 : Linxea restructure offre PE, souhaite accélérer sur cette classe, moins d'intérêt pour défisc sauf remploi 150 OB ter. Apprécie fonds de conviction, intéressé par fonds défense et mobilisations. Présentations envoyées. Relance RDV 2026, invit. événement 26/01. Prochaine étape : fixer RDV.&lt;/p&gt;</v>
      </c>
      <c r="H50" s="6" cm="1" t="str">
        <f t="array" ref="H50">IF(G50="","",SUBSTITUTE(SUBSTITUTE(SUBSTITUTE(SUBSTITUTE(SUBSTITUTE(G50,"&lt;p&gt;",""),"&lt;/p&gt;",""),"&lt;ul&gt;",""),"&lt;/ul&gt;",""),"&lt;/strong&gt;",""))</f>
        <v>Déj. 14/10/25 : Linxea restructure offre PE, souhaite accélérer sur cette classe, moins d'intérêt pour défisc sauf remploi 150 OB ter. Apprécie fonds de conviction, intéressé par fonds défense et mobilisations. Présentations envoyées. Relance RDV 2026, invit. événement 26/01. Prochaine étape : fixer RDV.</v>
      </c>
      <c r="I50" s="12" cm="1" t="str">
        <f t="array" ref="I50">IF(C50="","",IF(OR(H50="",H50=0,H50=FALSE),"-",H50))</f>
        <v>Déj. 14/10/25 : Linxea restructure offre PE, souhaite accélérer sur cette classe, moins d'intérêt pour défisc sauf remploi 150 OB ter. Apprécie fonds de conviction, intéressé par fonds défense et mobilisations. Présentations envoyées. Relance RDV 2026, invit. événement 26/01. Prochaine étape : fixer RDV.</v>
      </c>
      <c r="J50" s="6">
</c>
      <c r="K50" s="6" t="s">
        <v>185</v>
      </c>
      <c r="L50" s="6" cm="1" t="str">
        <f t="array" ref="L50">IF(C50="","",IF(K50="Mort / Plus rien à faire","KO","OK"))</f>
        <v>OK</v>
      </c>
      <c r="M50" s="13">
        <v>46041.41600694445</v>
      </c>
      <c r="N50" s="13" cm="1" t="n">
        <f t="array" ref="N50">IF(OR(C50="",M50="",M50=0),"",M50)</f>
        <v>46041.41600694445</v>
      </c>
      <c r="O50" s="13">
</c>
      <c r="P50" s="13" cm="1" t="str">
        <f t="array" ref="P50">IF(C50="","",IF(OR(O50="",O50=0),"-",O50))</f>
        <v>-</v>
      </c>
      <c r="Q50" s="14">
        <v>0</v>
      </c>
      <c r="R50" s="6" cm="1" t="str">
        <f t="array" ref="R50">IF(C50="","",ROUND(Q50/1000000,3)&amp;" M€")</f>
        <v>0 M€</v>
      </c>
      <c r="S50" s="15">
        <v>10</v>
      </c>
      <c r="T50" s="6" cm="1" t="str">
        <f t="array" ref="T50">IF(C50="","",SUBSTITUTE(S50,"","")&amp;"%")</f>
        <v>10%</v>
      </c>
      <c r="U50" s="12" cm="1" t="str">
        <f t="array" ref="U50">IF(($N50="")*($P50=""),"",IF(($N50&lt;&gt;"")*($N50&gt;TODAY()-9)*($N50&lt;TODAY()+1)*($P50&lt;&gt;"")*($P50&gt;=TODAY())*($P50&lt;=TODAY()+13),"Semaine passée &amp; à venir",IF(($N50&lt;&gt;"")*($N50&gt;TODAY()-9)*($N50&lt;TODAY()+1),"Semaine passée",IF(($P50&lt;&gt;"")*($P50&gt;=TODAY())*($P50&lt;=TODAY()+13),"À venir","Autre"))))</f>
        <v>Autre</v>
      </c>
      <c r="V50" s="5" cm="1" t="n">
        <f t="array" ref="V50">IF(C50&lt;&gt;"",1,0)</f>
        <v>1</v>
      </c>
      <c r="W50" s="5">
</c>
      <c r="X50" s="5">
</c>
      <c r="Y50" s="5">
</c>
      <c r="Z50" s="5">
</c>
      <c r="AA50" s="5">
</c>
      <c r="AB50" s="5">
</c>
      <c r="AC50" s="5">
</c>
      <c r="AD50" s="5">
</c>
      <c r="AE50" s="5">
</c>
      <c r="AF50" s="5">
</c>
      <c r="AG50" s="5">
</c>
      <c r="AH50" s="5">
</c>
      <c r="AI50" s="5">
</c>
      <c r="AJ50" s="5">
</c>
      <c r="AK50" s="5">
</c>
    </row>
    <row r="51" ht="65.25" customHeight="1">
      <c r="A51" s="6" t="s">
        <v>23</v>
      </c>
      <c r="B51" s="6">
</c>
      <c r="C51" s="11" t="s">
        <v>186</v>
      </c>
      <c r="D51" s="11" t="s">
        <v>187</v>
      </c>
      <c r="E51" s="6" t="s">
        <v>38</v>
      </c>
      <c r="F51" s="6" t="s">
        <v>188</v>
      </c>
      <c r="G51" s="6" cm="1" t="str">
        <f t="array" ref="G51">IF(F51="","",SUBSTITUTE(SUBSTITUTE(SUBSTITUTE(SUBSTITUTE(F51,"&lt;li&gt;",CHAR(10)),"&lt;/li&gt;",""),"&lt;br&gt;",CHAR(10)),"&lt;strong&gt;",""))</f>
        <v>&lt;p&gt;Nouvelle piste créée pour équipe Ventes. Prospect souhaite réinvestir dans FCPI 12K, indisponible actuellement. Aucun échange ou activité supplémentaire relevé. Prochaines étapes non définies, attente d'évolution sur disponibilité FCPI 12K. Pas d'autres actions ou retours du prospect.&lt;/p&gt;</v>
      </c>
      <c r="H51" s="6" cm="1" t="str">
        <f t="array" ref="H51">IF(G51="","",SUBSTITUTE(SUBSTITUTE(SUBSTITUTE(SUBSTITUTE(SUBSTITUTE(G51,"&lt;p&gt;",""),"&lt;/p&gt;",""),"&lt;ul&gt;",""),"&lt;/ul&gt;",""),"&lt;/strong&gt;",""))</f>
        <v>Nouvelle piste créée pour équipe Ventes. Prospect souhaite réinvestir dans FCPI 12K, indisponible actuellement. Aucun échange ou activité supplémentaire relevé. Prochaines étapes non définies, attente d'évolution sur disponibilité FCPI 12K. Pas d'autres actions ou retours du prospect.</v>
      </c>
      <c r="I51" s="12" cm="1" t="str">
        <f t="array" ref="I51">IF(C51="","",IF(OR(H51="",H51=0,H51=FALSE),"-",H51))</f>
        <v>Nouvelle piste créée pour équipe Ventes. Prospect souhaite réinvestir dans FCPI 12K, indisponible actuellement. Aucun échange ou activité supplémentaire relevé. Prochaines étapes non définies, attente d'évolution sur disponibilité FCPI 12K. Pas d'autres actions ou retours du prospect.</v>
      </c>
      <c r="J51" s="6">
</c>
      <c r="K51" s="6" t="s">
        <v>75</v>
      </c>
      <c r="L51" s="6" cm="1" t="str">
        <f t="array" ref="L51">IF(C51="","",IF(K51="Mort / Plus rien à faire","KO","OK"))</f>
        <v>OK</v>
      </c>
      <c r="M51" s="13">
        <v>46129.707349537035</v>
      </c>
      <c r="N51" s="13" cm="1" t="n">
        <f t="array" ref="N51">IF(OR(C51="",M51="",M51=0),"",M51)</f>
        <v>46129.707349537035</v>
      </c>
      <c r="O51" s="13">
</c>
      <c r="P51" s="13" cm="1" t="str">
        <f t="array" ref="P51">IF(C51="","",IF(OR(O51="",O51=0),"-",O51))</f>
        <v>-</v>
      </c>
      <c r="Q51" s="14">
        <v>12000</v>
      </c>
      <c r="R51" s="6" cm="1" t="str">
        <f t="array" ref="R51">IF(C51="","",ROUND(Q51/1000000,3)&amp;" M€")</f>
        <v>0.012 M€</v>
      </c>
      <c r="S51" s="15">
        <v>10</v>
      </c>
      <c r="T51" s="6" cm="1" t="str">
        <f t="array" ref="T51">IF(C51="","",SUBSTITUTE(S51,"","")&amp;"%")</f>
        <v>10%</v>
      </c>
      <c r="U51" s="12" cm="1" t="str">
        <f t="array" ref="U51">IF(($N51="")*($P51=""),"",IF(($N51&lt;&gt;"")*($N51&gt;TODAY()-9)*($N51&lt;TODAY()+1)*($P51&lt;&gt;"")*($P51&gt;=TODAY())*($P51&lt;=TODAY()+13),"Semaine passée &amp; à venir",IF(($N51&lt;&gt;"")*($N51&gt;TODAY()-9)*($N51&lt;TODAY()+1),"Semaine passée",IF(($P51&lt;&gt;"")*($P51&gt;=TODAY())*($P51&lt;=TODAY()+13),"À venir","Autre"))))</f>
        <v>Autre</v>
      </c>
      <c r="V51" s="5" cm="1" t="n">
        <f t="array" ref="V51">IF(C51&lt;&gt;"",1,0)</f>
        <v>1</v>
      </c>
      <c r="W51" s="5">
</c>
      <c r="X51" s="5">
</c>
      <c r="Y51" s="5">
</c>
      <c r="Z51" s="5">
</c>
      <c r="AA51" s="5">
</c>
      <c r="AB51" s="5">
</c>
      <c r="AC51" s="5">
</c>
      <c r="AD51" s="5">
</c>
      <c r="AE51" s="5">
</c>
      <c r="AF51" s="5">
</c>
      <c r="AG51" s="5">
</c>
      <c r="AH51" s="5">
</c>
      <c r="AI51" s="5">
</c>
      <c r="AJ51" s="5">
</c>
      <c r="AK51" s="5">
</c>
    </row>
    <row r="52" ht="65.25" customHeight="1">
      <c r="A52" s="6" t="s">
        <v>23</v>
      </c>
      <c r="B52" s="6" t="s">
        <v>24</v>
      </c>
      <c r="C52" s="11" t="s">
        <v>189</v>
      </c>
      <c r="D52" s="11" t="s">
        <v>190</v>
      </c>
      <c r="E52" s="6" t="s">
        <v>38</v>
      </c>
      <c r="F52" s="6" t="s">
        <v>191</v>
      </c>
      <c r="G52" s="6" cm="1" t="str">
        <f t="array" ref="G52">IF(F52="","",SUBSTITUTE(SUBSTITUTE(SUBSTITUTE(SUBSTITUTE(F52,"&lt;li&gt;",CHAR(10)),"&lt;/li&gt;",""),"&lt;br&gt;",CHAR(10)),"&lt;strong&gt;",""))</f>
        <v>&lt;p&gt;25/02/26 café avec Directeur Cheval Blanc Patrimoine CGP Paris 16, offre globale évoquée, prospect pas intéressé pour l’instant, préfère fonds de dette privés, mauvaise image fonds fiscaux. A choisi Wind Capital en FCPI, ouvert à revoir en 2026. Pas d’action prévue à court terme.&lt;/p&gt;</v>
      </c>
      <c r="H52" s="6" cm="1" t="str">
        <f t="array" ref="H52">IF(G52="","",SUBSTITUTE(SUBSTITUTE(SUBSTITUTE(SUBSTITUTE(SUBSTITUTE(G52,"&lt;p&gt;",""),"&lt;/p&gt;",""),"&lt;ul&gt;",""),"&lt;/ul&gt;",""),"&lt;/strong&gt;",""))</f>
        <v>25/02/26 café avec Directeur Cheval Blanc Patrimoine CGP Paris 16, offre globale évoquée, prospect pas intéressé pour l’instant, préfère fonds de dette privés, mauvaise image fonds fiscaux. A choisi Wind Capital en FCPI, ouvert à revoir en 2026. Pas d’action prévue à court terme.</v>
      </c>
      <c r="I52" s="12" cm="1" t="str">
        <f t="array" ref="I52">IF(C52="","",IF(OR(H52="",H52=0,H52=FALSE),"-",H52))</f>
        <v>25/02/26 café avec Directeur Cheval Blanc Patrimoine CGP Paris 16, offre globale évoquée, prospect pas intéressé pour l’instant, préfère fonds de dette privés, mauvaise image fonds fiscaux. A choisi Wind Capital en FCPI, ouvert à revoir en 2026. Pas d’action prévue à court terme.</v>
      </c>
      <c r="J52" s="6">
</c>
      <c r="K52" s="6" t="s">
        <v>192</v>
      </c>
      <c r="L52" s="6" cm="1" t="str">
        <f t="array" ref="L52">IF(C52="","",IF(K52="Mort / Plus rien à faire","KO","OK"))</f>
        <v>OK</v>
      </c>
      <c r="M52" s="13">
        <v>46111.72484953704</v>
      </c>
      <c r="N52" s="13" cm="1" t="n">
        <f t="array" ref="N52">IF(OR(C52="",M52="",M52=0),"",M52)</f>
        <v>46111.72484953704</v>
      </c>
      <c r="O52" s="13">
</c>
      <c r="P52" s="13" cm="1" t="str">
        <f t="array" ref="P52">IF(C52="","",IF(OR(O52="",O52=0),"-",O52))</f>
        <v>-</v>
      </c>
      <c r="Q52" s="14">
        <v>0</v>
      </c>
      <c r="R52" s="6" cm="1" t="str">
        <f t="array" ref="R52">IF(C52="","",ROUND(Q52/1000000,3)&amp;" M€")</f>
        <v>0 M€</v>
      </c>
      <c r="S52" s="15">
        <v>10</v>
      </c>
      <c r="T52" s="6" cm="1" t="str">
        <f t="array" ref="T52">IF(C52="","",SUBSTITUTE(S52,"","")&amp;"%")</f>
        <v>10%</v>
      </c>
      <c r="U52" s="12" cm="1" t="str">
        <f t="array" ref="U52">IF(($N52="")*($P52=""),"",IF(($N52&lt;&gt;"")*($N52&gt;TODAY()-9)*($N52&lt;TODAY()+1)*($P52&lt;&gt;"")*($P52&gt;=TODAY())*($P52&lt;=TODAY()+13),"Semaine passée &amp; à venir",IF(($N52&lt;&gt;"")*($N52&gt;TODAY()-9)*($N52&lt;TODAY()+1),"Semaine passée",IF(($P52&lt;&gt;"")*($P52&gt;=TODAY())*($P52&lt;=TODAY()+13),"À venir","Autre"))))</f>
        <v>Autre</v>
      </c>
      <c r="V52" s="5" cm="1" t="n">
        <f t="array" ref="V52">IF(C52&lt;&gt;"",1,0)</f>
        <v>1</v>
      </c>
      <c r="W52" s="5">
</c>
      <c r="X52" s="5">
</c>
      <c r="Y52" s="5">
</c>
      <c r="Z52" s="5">
</c>
      <c r="AA52" s="5">
</c>
      <c r="AB52" s="5">
</c>
      <c r="AC52" s="5">
</c>
      <c r="AD52" s="5">
</c>
      <c r="AE52" s="5">
</c>
      <c r="AF52" s="5">
</c>
      <c r="AG52" s="5">
</c>
      <c r="AH52" s="5">
</c>
      <c r="AI52" s="5">
</c>
      <c r="AJ52" s="5">
</c>
      <c r="AK52" s="5">
</c>
    </row>
    <row r="53" ht="65.25" customHeight="1">
      <c r="A53" s="6" t="s">
        <v>23</v>
      </c>
      <c r="B53" s="6" t="s">
        <v>24</v>
      </c>
      <c r="C53" s="11" t="s">
        <v>193</v>
      </c>
      <c r="D53" s="11" t="s">
        <v>194</v>
      </c>
      <c r="E53" s="6" t="s">
        <v>27</v>
      </c>
      <c r="F53" s="6" t="s">
        <v>195</v>
      </c>
      <c r="G53" s="6" cm="1" t="str">
        <f t="array" ref="G53">IF(F53="","",SUBSTITUTE(SUBSTITUTE(SUBSTITUTE(SUBSTITUTE(F53,"&lt;li&gt;",CHAR(10)),"&lt;/li&gt;",""),"&lt;br&gt;",CHAR(10)),"&lt;strong&gt;",""))</f>
        <v>&lt;p&gt;Cold call CGP Paris 25/11, client peu PE, focus dette privée/infra, mais intérêt potentiel pour Capital Innovation. Présentation envoyée 01/12, relance mail 16/12, relance FCPI 04/03 (message laissé). Dernière action : mail à envoyer. Pas de retour prospect sur fonds à ce stade.&lt;/p&gt;</v>
      </c>
      <c r="H53" s="6" cm="1" t="str">
        <f t="array" ref="H53">IF(G53="","",SUBSTITUTE(SUBSTITUTE(SUBSTITUTE(SUBSTITUTE(SUBSTITUTE(G53,"&lt;p&gt;",""),"&lt;/p&gt;",""),"&lt;ul&gt;",""),"&lt;/ul&gt;",""),"&lt;/strong&gt;",""))</f>
        <v>Cold call CGP Paris 25/11, client peu PE, focus dette privée/infra, mais intérêt potentiel pour Capital Innovation. Présentation envoyée 01/12, relance mail 16/12, relance FCPI 04/03 (message laissé). Dernière action : mail à envoyer. Pas de retour prospect sur fonds à ce stade.</v>
      </c>
      <c r="I53" s="12" cm="1" t="str">
        <f t="array" ref="I53">IF(C53="","",IF(OR(H53="",H53=0,H53=FALSE),"-",H53))</f>
        <v>Cold call CGP Paris 25/11, client peu PE, focus dette privée/infra, mais intérêt potentiel pour Capital Innovation. Présentation envoyée 01/12, relance mail 16/12, relance FCPI 04/03 (message laissé). Dernière action : mail à envoyer. Pas de retour prospect sur fonds à ce stade.</v>
      </c>
      <c r="J53" s="6">
</c>
      <c r="K53" s="6" t="s">
        <v>75</v>
      </c>
      <c r="L53" s="6" cm="1" t="str">
        <f t="array" ref="L53">IF(C53="","",IF(K53="Mort / Plus rien à faire","KO","OK"))</f>
        <v>OK</v>
      </c>
      <c r="M53" s="13">
        <v>46132.6165625</v>
      </c>
      <c r="N53" s="13" cm="1" t="n">
        <f t="array" ref="N53">IF(OR(C53="",M53="",M53=0),"",M53)</f>
        <v>46132.6165625</v>
      </c>
      <c r="O53" s="13">
</c>
      <c r="P53" s="13" cm="1" t="str">
        <f t="array" ref="P53">IF(C53="","",IF(OR(O53="",O53=0),"-",O53))</f>
        <v>-</v>
      </c>
      <c r="Q53" s="14">
        <v>0</v>
      </c>
      <c r="R53" s="6" cm="1" t="str">
        <f t="array" ref="R53">IF(C53="","",ROUND(Q53/1000000,3)&amp;" M€")</f>
        <v>0 M€</v>
      </c>
      <c r="S53" s="15">
        <v>10</v>
      </c>
      <c r="T53" s="6" cm="1" t="str">
        <f t="array" ref="T53">IF(C53="","",SUBSTITUTE(S53,"","")&amp;"%")</f>
        <v>10%</v>
      </c>
      <c r="U53" s="12" cm="1" t="str">
        <f t="array" ref="U53">IF(($N53="")*($P53=""),"",IF(($N53&lt;&gt;"")*($N53&gt;TODAY()-9)*($N53&lt;TODAY()+1)*($P53&lt;&gt;"")*($P53&gt;=TODAY())*($P53&lt;=TODAY()+13),"Semaine passée &amp; à venir",IF(($N53&lt;&gt;"")*($N53&gt;TODAY()-9)*($N53&lt;TODAY()+1),"Semaine passée",IF(($P53&lt;&gt;"")*($P53&gt;=TODAY())*($P53&lt;=TODAY()+13),"À venir","Autre"))))</f>
        <v>Autre</v>
      </c>
      <c r="V53" s="5" cm="1" t="n">
        <f t="array" ref="V53">IF(C53&lt;&gt;"",1,0)</f>
        <v>1</v>
      </c>
      <c r="W53" s="5">
</c>
      <c r="X53" s="5">
</c>
      <c r="Y53" s="5">
</c>
      <c r="Z53" s="5">
</c>
      <c r="AA53" s="5">
</c>
      <c r="AB53" s="5">
</c>
      <c r="AC53" s="5">
</c>
      <c r="AD53" s="5">
</c>
      <c r="AE53" s="5">
</c>
      <c r="AF53" s="5">
</c>
      <c r="AG53" s="5">
</c>
      <c r="AH53" s="5">
</c>
      <c r="AI53" s="5">
</c>
      <c r="AJ53" s="5">
</c>
      <c r="AK53" s="5">
</c>
    </row>
    <row r="54" ht="65.25" customHeight="1">
      <c r="A54" s="6" t="s">
        <v>23</v>
      </c>
      <c r="B54" s="6" t="s">
        <v>76</v>
      </c>
      <c r="C54" s="11" t="s">
        <v>196</v>
      </c>
      <c r="D54" s="11" t="s">
        <v>197</v>
      </c>
      <c r="E54" s="6" t="s">
        <v>53</v>
      </c>
      <c r="F54" s="6" t="s">
        <v>198</v>
      </c>
      <c r="G54" s="6" cm="1" t="str">
        <f t="array" ref="G54">IF(F54="","",SUBSTITUTE(SUBSTITUTE(SUBSTITUTE(SUBSTITUTE(F54,"&lt;li&gt;",CHAR(10)),"&lt;/li&gt;",""),"&lt;br&gt;",CHAR(10)),"&lt;strong&gt;",""))</f>
        <v>&lt;p&gt;Relance effectuée par Odp le 17 avril. Nouvelle piste créée pour l'équipe Ventes. Aucune activité ou action complémentaire enregistrée depuis la création. Pas de retour ou d'échange supplémentaire identifié. Prochaines étapes non planifiées à ce jour.&lt;/p&gt;</v>
      </c>
      <c r="H54" s="6" cm="1" t="str">
        <f t="array" ref="H54">IF(G54="","",SUBSTITUTE(SUBSTITUTE(SUBSTITUTE(SUBSTITUTE(SUBSTITUTE(G54,"&lt;p&gt;",""),"&lt;/p&gt;",""),"&lt;ul&gt;",""),"&lt;/ul&gt;",""),"&lt;/strong&gt;",""))</f>
        <v>Relance effectuée par Odp le 17 avril. Nouvelle piste créée pour l'équipe Ventes. Aucune activité ou action complémentaire enregistrée depuis la création. Pas de retour ou d'échange supplémentaire identifié. Prochaines étapes non planifiées à ce jour.</v>
      </c>
      <c r="I54" s="12" cm="1" t="str">
        <f t="array" ref="I54">IF(C54="","",IF(OR(H54="",H54=0,H54=FALSE),"-",H54))</f>
        <v>Relance effectuée par Odp le 17 avril. Nouvelle piste créée pour l'équipe Ventes. Aucune activité ou action complémentaire enregistrée depuis la création. Pas de retour ou d'échange supplémentaire identifié. Prochaines étapes non planifiées à ce jour.</v>
      </c>
      <c r="J54" s="6">
</c>
      <c r="K54" s="6" t="s">
        <v>75</v>
      </c>
      <c r="L54" s="6" cm="1" t="str">
        <f t="array" ref="L54">IF(C54="","",IF(K54="Mort / Plus rien à faire","KO","OK"))</f>
        <v>OK</v>
      </c>
      <c r="M54" s="13">
        <v>46132.747245370374</v>
      </c>
      <c r="N54" s="13" cm="1" t="n">
        <f t="array" ref="N54">IF(OR(C54="",M54="",M54=0),"",M54)</f>
        <v>46132.747245370374</v>
      </c>
      <c r="O54" s="13">
</c>
      <c r="P54" s="13" cm="1" t="str">
        <f t="array" ref="P54">IF(C54="","",IF(OR(O54="",O54=0),"-",O54))</f>
        <v>-</v>
      </c>
      <c r="Q54" s="14">
        <v>0</v>
      </c>
      <c r="R54" s="6" cm="1" t="str">
        <f t="array" ref="R54">IF(C54="","",ROUND(Q54/1000000,3)&amp;" M€")</f>
        <v>0 M€</v>
      </c>
      <c r="S54" s="15">
        <v>10</v>
      </c>
      <c r="T54" s="6" cm="1" t="str">
        <f t="array" ref="T54">IF(C54="","",SUBSTITUTE(S54,"","")&amp;"%")</f>
        <v>10%</v>
      </c>
      <c r="U54" s="12" cm="1" t="str">
        <f t="array" ref="U54">IF(($N54="")*($P54=""),"",IF(($N54&lt;&gt;"")*($N54&gt;TODAY()-9)*($N54&lt;TODAY()+1)*($P54&lt;&gt;"")*($P54&gt;=TODAY())*($P54&lt;=TODAY()+13),"Semaine passée &amp; à venir",IF(($N54&lt;&gt;"")*($N54&gt;TODAY()-9)*($N54&lt;TODAY()+1),"Semaine passée",IF(($P54&lt;&gt;"")*($P54&gt;=TODAY())*($P54&lt;=TODAY()+13),"À venir","Autre"))))</f>
        <v>Autre</v>
      </c>
      <c r="V54" s="5" cm="1" t="n">
        <f t="array" ref="V54">IF(C54&lt;&gt;"",1,0)</f>
        <v>1</v>
      </c>
      <c r="W54" s="5">
</c>
      <c r="X54" s="5">
</c>
      <c r="Y54" s="5">
</c>
      <c r="Z54" s="5">
</c>
      <c r="AA54" s="5">
</c>
      <c r="AB54" s="5">
</c>
      <c r="AC54" s="5">
</c>
      <c r="AD54" s="5">
</c>
      <c r="AE54" s="5">
</c>
      <c r="AF54" s="5">
</c>
      <c r="AG54" s="5">
</c>
      <c r="AH54" s="5">
</c>
      <c r="AI54" s="5">
</c>
      <c r="AJ54" s="5">
</c>
      <c r="AK54" s="5">
</c>
    </row>
    <row r="55" ht="65.25" customHeight="1">
      <c r="A55" s="6" t="s">
        <v>23</v>
      </c>
      <c r="B55" s="6" t="s">
        <v>76</v>
      </c>
      <c r="C55" s="11" t="s">
        <v>199</v>
      </c>
      <c r="D55" s="11" t="s">
        <v>200</v>
      </c>
      <c r="E55" s="6" t="s">
        <v>53</v>
      </c>
      <c r="F55" s="6" t="s">
        <v>201</v>
      </c>
      <c r="G55" s="6" cm="1" t="str">
        <f t="array" ref="G55">IF(F55="","",SUBSTITUTE(SUBSTITUTE(SUBSTITUTE(SUBSTITUTE(F55,"&lt;li&gt;",CHAR(10)),"&lt;/li&gt;",""),"&lt;br&gt;",CHAR(10)),"&lt;strong&gt;",""))</f>
        <v>&lt;p&gt;Peu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limité.&lt;/p&gt;</v>
      </c>
      <c r="H55" s="6" cm="1" t="str">
        <f t="array" ref="H55">IF(G55="","",SUBSTITUTE(SUBSTITUTE(SUBSTITUTE(SUBSTITUTE(SUBSTITUTE(G55,"&lt;p&gt;",""),"&lt;/p&gt;",""),"&lt;ul&gt;",""),"&lt;/ul&gt;",""),"&lt;/strong&gt;",""))</f>
        <v>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v>
      </c>
      <c r="I55" s="12" cm="1" t="str">
        <f t="array" ref="I55">IF(C55="","",IF(OR(H55="",H55=0,H55=FALSE),"-",H55))</f>
        <v>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v>
      </c>
      <c r="J55" s="6">
</c>
      <c r="K55" s="6" t="s">
        <v>75</v>
      </c>
      <c r="L55" s="6" cm="1" t="str">
        <f t="array" ref="L55">IF(C55="","",IF(K55="Mort / Plus rien à faire","KO","OK"))</f>
        <v>OK</v>
      </c>
      <c r="M55" s="13">
        <v>46141.59175925926</v>
      </c>
      <c r="N55" s="13" cm="1" t="n">
        <f t="array" ref="N55">IF(OR(C55="",M55="",M55=0),"",M55)</f>
        <v>46141.59175925926</v>
      </c>
      <c r="O55" s="13">
</c>
      <c r="P55" s="13" cm="1" t="str">
        <f t="array" ref="P55">IF(C55="","",IF(OR(O55="",O55=0),"-",O55))</f>
        <v>-</v>
      </c>
      <c r="Q55" s="14">
        <v>0</v>
      </c>
      <c r="R55" s="6" cm="1" t="str">
        <f t="array" ref="R55">IF(C55="","",ROUND(Q55/1000000,3)&amp;" M€")</f>
        <v>0 M€</v>
      </c>
      <c r="S55" s="15">
        <v>10</v>
      </c>
      <c r="T55" s="6" cm="1" t="str">
        <f t="array" ref="T55">IF(C55="","",SUBSTITUTE(S55,"","")&amp;"%")</f>
        <v>10%</v>
      </c>
      <c r="U55" s="12" cm="1" t="str">
        <f t="array" ref="U55">IF(($N55="")*($P55=""),"",IF(($N55&lt;&gt;"")*($N55&gt;TODAY()-9)*($N55&lt;TODAY()+1)*($P55&lt;&gt;"")*($P55&gt;=TODAY())*($P55&lt;=TODAY()+13),"Semaine passée &amp; à venir",IF(($N55&lt;&gt;"")*($N55&gt;TODAY()-9)*($N55&lt;TODAY()+1),"Semaine passée",IF(($P55&lt;&gt;"")*($P55&gt;=TODAY())*($P55&lt;=TODAY()+13),"À venir","Autre"))))</f>
        <v>Autre</v>
      </c>
      <c r="V55" s="5" cm="1" t="n">
        <f t="array" ref="V55">IF(C55&lt;&gt;"",1,0)</f>
        <v>1</v>
      </c>
      <c r="W55" s="5">
</c>
      <c r="X55" s="5">
</c>
      <c r="Y55" s="5">
</c>
      <c r="Z55" s="5">
</c>
      <c r="AA55" s="5">
</c>
      <c r="AB55" s="5">
</c>
      <c r="AC55" s="5">
</c>
      <c r="AD55" s="5">
</c>
      <c r="AE55" s="5">
</c>
      <c r="AF55" s="5">
</c>
      <c r="AG55" s="5">
</c>
      <c r="AH55" s="5">
</c>
      <c r="AI55" s="5">
</c>
      <c r="AJ55" s="5">
</c>
      <c r="AK55" s="5">
</c>
    </row>
    <row r="56" ht="65.25" customHeight="1">
      <c r="A56" s="6" t="s">
        <v>23</v>
      </c>
      <c r="B56" s="6" t="s">
        <v>202</v>
      </c>
      <c r="C56" s="11" t="s">
        <v>203</v>
      </c>
      <c r="D56" s="11" t="s">
        <v>204</v>
      </c>
      <c r="E56" s="6" t="s">
        <v>38</v>
      </c>
      <c r="F56" s="6" t="s">
        <v>205</v>
      </c>
      <c r="G56" s="6" cm="1" t="str">
        <f t="array" ref="G56">IF(F56="","",SUBSTITUTE(SUBSTITUTE(SUBSTITUTE(SUBSTITUTE(F56,"&lt;li&gt;",CHAR(10)),"&lt;/li&gt;",""),"&lt;br&gt;",CHAR(10)),"&lt;strong&gt;",""))</f>
        <v>&lt;p&gt;Nouvelle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programmée.&lt;/p&gt;</v>
      </c>
      <c r="H56" s="6" cm="1" t="str">
        <f t="array" ref="H56">IF(G56="","",SUBSTITUTE(SUBSTITUTE(SUBSTITUTE(SUBSTITUTE(SUBSTITUTE(G56,"&lt;p&gt;",""),"&lt;/p&gt;",""),"&lt;ul&gt;",""),"&lt;/ul&gt;",""),"&lt;/strong&gt;",""))</f>
        <v>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v>
      </c>
      <c r="I56" s="12" cm="1" t="str">
        <f t="array" ref="I56">IF(C56="","",IF(OR(H56="",H56=0,H56=FALSE),"-",H56))</f>
        <v>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v>
      </c>
      <c r="J56" s="6" t="s">
        <v>206</v>
      </c>
      <c r="K56" s="6" t="s">
        <v>75</v>
      </c>
      <c r="L56" s="6" cm="1" t="str">
        <f t="array" ref="L56">IF(C56="","",IF(K56="Mort / Plus rien à faire","KO","OK"))</f>
        <v>OK</v>
      </c>
      <c r="M56" s="13">
        <v>46092.70575231482</v>
      </c>
      <c r="N56" s="13" cm="1" t="n">
        <f t="array" ref="N56">IF(OR(C56="",M56="",M56=0),"",M56)</f>
        <v>46092.70575231482</v>
      </c>
      <c r="O56" s="13">
</c>
      <c r="P56" s="13" cm="1" t="str">
        <f t="array" ref="P56">IF(C56="","",IF(OR(O56="",O56=0),"-",O56))</f>
        <v>-</v>
      </c>
      <c r="Q56" s="14">
        <v>0</v>
      </c>
      <c r="R56" s="6" cm="1" t="str">
        <f t="array" ref="R56">IF(C56="","",ROUND(Q56/1000000,3)&amp;" M€")</f>
        <v>0 M€</v>
      </c>
      <c r="S56" s="15">
        <v>10</v>
      </c>
      <c r="T56" s="6" cm="1" t="str">
        <f t="array" ref="T56">IF(C56="","",SUBSTITUTE(S56,"","")&amp;"%")</f>
        <v>10%</v>
      </c>
      <c r="U56" s="12" cm="1" t="str">
        <f t="array" ref="U56">IF(($N56="")*($P56=""),"",IF(($N56&lt;&gt;"")*($N56&gt;TODAY()-9)*($N56&lt;TODAY()+1)*($P56&lt;&gt;"")*($P56&gt;=TODAY())*($P56&lt;=TODAY()+13),"Semaine passée &amp; à venir",IF(($N56&lt;&gt;"")*($N56&gt;TODAY()-9)*($N56&lt;TODAY()+1),"Semaine passée",IF(($P56&lt;&gt;"")*($P56&gt;=TODAY())*($P56&lt;=TODAY()+13),"À venir","Autre"))))</f>
        <v>Autre</v>
      </c>
      <c r="V56" s="5" cm="1" t="n">
        <f t="array" ref="V56">IF(C56&lt;&gt;"",1,0)</f>
        <v>1</v>
      </c>
      <c r="W56" s="5">
</c>
      <c r="X56" s="5">
</c>
      <c r="Y56" s="5">
</c>
      <c r="Z56" s="5">
</c>
      <c r="AA56" s="5">
</c>
      <c r="AB56" s="5">
</c>
      <c r="AC56" s="5">
</c>
      <c r="AD56" s="5">
</c>
      <c r="AE56" s="5">
</c>
      <c r="AF56" s="5">
</c>
      <c r="AG56" s="5">
</c>
      <c r="AH56" s="5">
</c>
      <c r="AI56" s="5">
</c>
      <c r="AJ56" s="5">
</c>
      <c r="AK56" s="5">
</c>
    </row>
    <row r="57" ht="65.25" customHeight="1">
      <c r="A57" s="6" t="s">
        <v>23</v>
      </c>
      <c r="B57" s="6" t="s">
        <v>24</v>
      </c>
      <c r="C57" s="11" t="s">
        <v>207</v>
      </c>
      <c r="D57" s="11" t="s">
        <v>208</v>
      </c>
      <c r="E57" s="6" t="s">
        <v>57</v>
      </c>
      <c r="F57" s="6" t="s">
        <v>209</v>
      </c>
      <c r="G57" s="6" cm="1" t="str">
        <f t="array" ref="G57">IF(F57="","",SUBSTITUTE(SUBSTITUTE(SUBSTITUTE(SUBSTITUTE(F57,"&lt;li&gt;",CHAR(10)),"&lt;/li&gt;",""),"&lt;br&gt;",CHAR(10)),"&lt;strong&gt;",""))</f>
        <v>&lt;p&gt;Prospect lance cabinet, cherche partenaires, doc envoyée, relance prévue mi-juin, basé à Marseille. Pas de données société via email. Nouvelle piste créée pour équipe Ventes. Prochaine étape&amp;nbsp;: recontacter mi-juin. Aucun retour prospect sur fonds pour l’instant.&lt;/p&gt;</v>
      </c>
      <c r="H57" s="6" cm="1" t="str">
        <f t="array" ref="H57">IF(G57="","",SUBSTITUTE(SUBSTITUTE(SUBSTITUTE(SUBSTITUTE(SUBSTITUTE(G57,"&lt;p&gt;",""),"&lt;/p&gt;",""),"&lt;ul&gt;",""),"&lt;/ul&gt;",""),"&lt;/strong&gt;",""))</f>
        <v>Prospect lance cabinet, cherche partenaires, doc envoyée, relance prévue mi-juin, basé à Marseille. Pas de données société via email. Nouvelle piste créée pour équipe Ventes. Prochaine étape&amp;nbsp;: recontacter mi-juin. Aucun retour prospect sur fonds pour l’instant.</v>
      </c>
      <c r="I57" s="12" cm="1" t="str">
        <f t="array" ref="I57">IF(C57="","",IF(OR(H57="",H57=0,H57=FALSE),"-",H57))</f>
        <v>Prospect lance cabinet, cherche partenaires, doc envoyée, relance prévue mi-juin, basé à Marseille. Pas de données société via email. Nouvelle piste créée pour équipe Ventes. Prochaine étape&amp;nbsp;: recontacter mi-juin. Aucun retour prospect sur fonds pour l’instant.</v>
      </c>
      <c r="J57" s="6">
</c>
      <c r="K57" s="6" t="s">
        <v>75</v>
      </c>
      <c r="L57" s="6" cm="1" t="str">
        <f t="array" ref="L57">IF(C57="","",IF(K57="Mort / Plus rien à faire","KO","OK"))</f>
        <v>OK</v>
      </c>
      <c r="M57" s="13">
        <v>46171.70667824074</v>
      </c>
      <c r="N57" s="13" cm="1" t="n">
        <f t="array" ref="N57">IF(OR(C57="",M57="",M57=0),"",M57)</f>
        <v>46171.70667824074</v>
      </c>
      <c r="O57" s="13">
</c>
      <c r="P57" s="13" cm="1" t="str">
        <f t="array" ref="P57">IF(C57="","",IF(OR(O57="",O57=0),"-",O57))</f>
        <v>-</v>
      </c>
      <c r="Q57" s="14">
        <v>0</v>
      </c>
      <c r="R57" s="6" cm="1" t="str">
        <f t="array" ref="R57">IF(C57="","",ROUND(Q57/1000000,3)&amp;" M€")</f>
        <v>0 M€</v>
      </c>
      <c r="S57" s="15">
        <v>10</v>
      </c>
      <c r="T57" s="6" cm="1" t="str">
        <f t="array" ref="T57">IF(C57="","",SUBSTITUTE(S57,"","")&amp;"%")</f>
        <v>10%</v>
      </c>
      <c r="U57" s="12" cm="1" t="str">
        <f t="array" ref="U57">IF(($N57="")*($P57=""),"",IF(($N57&lt;&gt;"")*($N57&gt;TODAY()-9)*($N57&lt;TODAY()+1)*($P57&lt;&gt;"")*($P57&gt;=TODAY())*($P57&lt;=TODAY()+13),"Semaine passée &amp; à venir",IF(($N57&lt;&gt;"")*($N57&gt;TODAY()-9)*($N57&lt;TODAY()+1),"Semaine passée",IF(($P57&lt;&gt;"")*($P57&gt;=TODAY())*($P57&lt;=TODAY()+13),"À venir","Autre"))))</f>
        <v>Semaine passée</v>
      </c>
      <c r="V57" s="5" cm="1" t="n">
        <f t="array" ref="V57">IF(C57&lt;&gt;"",1,0)</f>
        <v>1</v>
      </c>
      <c r="W57" s="5">
</c>
      <c r="X57" s="5">
</c>
      <c r="Y57" s="5">
</c>
      <c r="Z57" s="5">
</c>
      <c r="AA57" s="5">
</c>
      <c r="AB57" s="5">
</c>
      <c r="AC57" s="5">
</c>
      <c r="AD57" s="5">
</c>
      <c r="AE57" s="5">
</c>
      <c r="AF57" s="5">
</c>
      <c r="AG57" s="5">
</c>
      <c r="AH57" s="5">
</c>
      <c r="AI57" s="5">
</c>
      <c r="AJ57" s="5">
</c>
      <c r="AK57" s="5">
</c>
    </row>
    <row r="58" ht="65.25" customHeight="1">
      <c r="A58" s="6" t="s">
        <v>23</v>
      </c>
      <c r="B58" s="6">
</c>
      <c r="C58" s="11" t="s">
        <v>210</v>
      </c>
      <c r="D58" s="11" t="s">
        <v>211</v>
      </c>
      <c r="E58" s="6" t="s">
        <v>57</v>
      </c>
      <c r="F58" s="6" t="s">
        <v>212</v>
      </c>
      <c r="G58" s="6" cm="1" t="str">
        <f t="array" ref="G58">IF(F58="","",SUBSTITUTE(SUBSTITUTE(SUBSTITUTE(SUBSTITUTE(F58,"&lt;li&gt;",CHAR(10)),"&lt;/li&gt;",""),"&lt;br&gt;",CHAR(10)),"&lt;strong&gt;",""))</f>
        <v>&lt;p&gt;Piste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spécifique.&lt;/p&gt;</v>
      </c>
      <c r="H58" s="6" cm="1" t="str">
        <f t="array" ref="H58">IF(G58="","",SUBSTITUTE(SUBSTITUTE(SUBSTITUTE(SUBSTITUTE(SUBSTITUTE(G58,"&lt;p&gt;",""),"&lt;/p&gt;",""),"&lt;ul&gt;",""),"&lt;/ul&gt;",""),"&lt;/strong&gt;",""))</f>
        <v>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v>
      </c>
      <c r="I58" s="12" cm="1" t="str">
        <f t="array" ref="I58">IF(C58="","",IF(OR(H58="",H58=0,H58=FALSE),"-",H58))</f>
        <v>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v>
      </c>
      <c r="J58" s="6">
</c>
      <c r="K58" s="6" t="s">
        <v>75</v>
      </c>
      <c r="L58" s="6" cm="1" t="str">
        <f t="array" ref="L58">IF(C58="","",IF(K58="Mort / Plus rien à faire","KO","OK"))</f>
        <v>OK</v>
      </c>
      <c r="M58" s="13">
        <v>46139.63384259259</v>
      </c>
      <c r="N58" s="13" cm="1" t="n">
        <f t="array" ref="N58">IF(OR(C58="",M58="",M58=0),"",M58)</f>
        <v>46139.63384259259</v>
      </c>
      <c r="O58" s="13">
</c>
      <c r="P58" s="13" cm="1" t="str">
        <f t="array" ref="P58">IF(C58="","",IF(OR(O58="",O58=0),"-",O58))</f>
        <v>-</v>
      </c>
      <c r="Q58" s="14">
        <v>0</v>
      </c>
      <c r="R58" s="6" cm="1" t="str">
        <f t="array" ref="R58">IF(C58="","",ROUND(Q58/1000000,3)&amp;" M€")</f>
        <v>0 M€</v>
      </c>
      <c r="S58" s="15">
        <v>10</v>
      </c>
      <c r="T58" s="6" cm="1" t="str">
        <f t="array" ref="T58">IF(C58="","",SUBSTITUTE(S58,"","")&amp;"%")</f>
        <v>10%</v>
      </c>
      <c r="U58" s="12" cm="1" t="str">
        <f t="array" ref="U58">IF(($N58="")*($P58=""),"",IF(($N58&lt;&gt;"")*($N58&gt;TODAY()-9)*($N58&lt;TODAY()+1)*($P58&lt;&gt;"")*($P58&gt;=TODAY())*($P58&lt;=TODAY()+13),"Semaine passée &amp; à venir",IF(($N58&lt;&gt;"")*($N58&gt;TODAY()-9)*($N58&lt;TODAY()+1),"Semaine passée",IF(($P58&lt;&gt;"")*($P58&gt;=TODAY())*($P58&lt;=TODAY()+13),"À venir","Autre"))))</f>
        <v>Autre</v>
      </c>
      <c r="V58" s="5" cm="1" t="n">
        <f t="array" ref="V58">IF(C58&lt;&gt;"",1,0)</f>
        <v>1</v>
      </c>
      <c r="W58" s="5">
</c>
      <c r="X58" s="5">
</c>
      <c r="Y58" s="5">
</c>
      <c r="Z58" s="5">
</c>
      <c r="AA58" s="5">
</c>
      <c r="AB58" s="5">
</c>
      <c r="AC58" s="5">
</c>
      <c r="AD58" s="5">
</c>
      <c r="AE58" s="5">
</c>
      <c r="AF58" s="5">
</c>
      <c r="AG58" s="5">
</c>
      <c r="AH58" s="5">
</c>
      <c r="AI58" s="5">
</c>
      <c r="AJ58" s="5">
</c>
      <c r="AK58" s="5">
</c>
    </row>
    <row r="59" ht="65.25" customHeight="1">
      <c r="A59" s="6" t="s">
        <v>23</v>
      </c>
      <c r="B59" s="6">
</c>
      <c r="C59" s="11" t="s">
        <v>213</v>
      </c>
      <c r="D59" s="11" t="s">
        <v>214</v>
      </c>
      <c r="E59" s="6" t="s">
        <v>57</v>
      </c>
      <c r="F59" s="6" t="s">
        <v>215</v>
      </c>
      <c r="G59" s="6" cm="1" t="str">
        <f t="array" ref="G59">IF(F59="","",SUBSTITUTE(SUBSTITUTE(SUBSTITUTE(SUBSTITUTE(F59,"&lt;li&gt;",CHAR(10)),"&lt;/li&gt;",""),"&lt;br&gt;",CHAR(10)),"&lt;strong&gt;",""))</f>
        <v>&lt;p&gt;Nouvelle piste créée pour équipe Ventes. Dernier échange : consigne de recontacter début juillet. Pas d'autres actions ni retours prospect enregistrés à ce jour. Prochaine étape : relance début juillet. Aucun retour sur fonds ni avis prospect pour l'instant.&lt;/p&gt;</v>
      </c>
      <c r="H59" s="6" cm="1" t="str">
        <f t="array" ref="H59">IF(G59="","",SUBSTITUTE(SUBSTITUTE(SUBSTITUTE(SUBSTITUTE(SUBSTITUTE(G59,"&lt;p&gt;",""),"&lt;/p&gt;",""),"&lt;ul&gt;",""),"&lt;/ul&gt;",""),"&lt;/strong&gt;",""))</f>
        <v>Nouvelle piste créée pour équipe Ventes. Dernier échange : consigne de recontacter début juillet. Pas d'autres actions ni retours prospect enregistrés à ce jour. Prochaine étape : relance début juillet. Aucun retour sur fonds ni avis prospect pour l'instant.</v>
      </c>
      <c r="I59" s="12" cm="1" t="str">
        <f t="array" ref="I59">IF(C59="","",IF(OR(H59="",H59=0,H59=FALSE),"-",H59))</f>
        <v>Nouvelle piste créée pour équipe Ventes. Dernier échange : consigne de recontacter début juillet. Pas d'autres actions ni retours prospect enregistrés à ce jour. Prochaine étape : relance début juillet. Aucun retour sur fonds ni avis prospect pour l'instant.</v>
      </c>
      <c r="J59" s="6">
</c>
      <c r="K59" s="6" t="s">
        <v>75</v>
      </c>
      <c r="L59" s="6" cm="1" t="str">
        <f t="array" ref="L59">IF(C59="","",IF(K59="Mort / Plus rien à faire","KO","OK"))</f>
        <v>OK</v>
      </c>
      <c r="M59" s="13">
        <v>46171.70783564815</v>
      </c>
      <c r="N59" s="13" cm="1" t="n">
        <f t="array" ref="N59">IF(OR(C59="",M59="",M59=0),"",M59)</f>
        <v>46171.70783564815</v>
      </c>
      <c r="O59" s="13">
</c>
      <c r="P59" s="13" cm="1" t="str">
        <f t="array" ref="P59">IF(C59="","",IF(OR(O59="",O59=0),"-",O59))</f>
        <v>-</v>
      </c>
      <c r="Q59" s="14">
        <v>0</v>
      </c>
      <c r="R59" s="6" cm="1" t="str">
        <f t="array" ref="R59">IF(C59="","",ROUND(Q59/1000000,3)&amp;" M€")</f>
        <v>0 M€</v>
      </c>
      <c r="S59" s="15">
        <v>10</v>
      </c>
      <c r="T59" s="6" cm="1" t="str">
        <f t="array" ref="T59">IF(C59="","",SUBSTITUTE(S59,"","")&amp;"%")</f>
        <v>10%</v>
      </c>
      <c r="U59" s="12" cm="1" t="str">
        <f t="array" ref="U59">IF(($N59="")*($P59=""),"",IF(($N59&lt;&gt;"")*($N59&gt;TODAY()-9)*($N59&lt;TODAY()+1)*($P59&lt;&gt;"")*($P59&gt;=TODAY())*($P59&lt;=TODAY()+13),"Semaine passée &amp; à venir",IF(($N59&lt;&gt;"")*($N59&gt;TODAY()-9)*($N59&lt;TODAY()+1),"Semaine passée",IF(($P59&lt;&gt;"")*($P59&gt;=TODAY())*($P59&lt;=TODAY()+13),"À venir","Autre"))))</f>
        <v>Semaine passée</v>
      </c>
      <c r="V59" s="5" cm="1" t="n">
        <f t="array" ref="V59">IF(C59&lt;&gt;"",1,0)</f>
        <v>1</v>
      </c>
      <c r="W59" s="5">
</c>
      <c r="X59" s="5">
</c>
      <c r="Y59" s="5">
</c>
      <c r="Z59" s="5">
</c>
      <c r="AA59" s="5">
</c>
      <c r="AB59" s="5">
</c>
      <c r="AC59" s="5">
</c>
      <c r="AD59" s="5">
</c>
      <c r="AE59" s="5">
</c>
      <c r="AF59" s="5">
</c>
      <c r="AG59" s="5">
</c>
      <c r="AH59" s="5">
</c>
      <c r="AI59" s="5">
</c>
      <c r="AJ59" s="5">
</c>
      <c r="AK59" s="5">
</c>
    </row>
    <row r="60" ht="65.25" customHeight="1">
      <c r="A60" s="6" t="s">
        <v>23</v>
      </c>
      <c r="B60" s="6">
</c>
      <c r="C60" s="11" t="s">
        <v>216</v>
      </c>
      <c r="D60" s="11" t="s">
        <v>217</v>
      </c>
      <c r="E60" s="6" t="s">
        <v>57</v>
      </c>
      <c r="F60" s="6" t="s">
        <v>218</v>
      </c>
      <c r="G60" s="6" cm="1" t="str">
        <f t="array" ref="G60">IF(F60="","",SUBSTITUTE(SUBSTITUTE(SUBSTITUTE(SUBSTITUTE(F60,"&lt;li&gt;",CHAR(10)),"&lt;/li&gt;",""),"&lt;br&gt;",CHAR(10)),"&lt;strong&gt;",""))</f>
        <v>&lt;p&gt;Nouvelle piste créée pour équipe Ventes. RDV programmé, pas d'autres actions ou retours mentionnés. Pas d'activité supplémentaire ni de retour prospect sur fonds présentés. Prochaines étapes non précisées, suivi à prévoir après le RDV.&lt;/p&gt;</v>
      </c>
      <c r="H60" s="6" cm="1" t="str">
        <f t="array" ref="H60">IF(G60="","",SUBSTITUTE(SUBSTITUTE(SUBSTITUTE(SUBSTITUTE(SUBSTITUTE(G60,"&lt;p&gt;",""),"&lt;/p&gt;",""),"&lt;ul&gt;",""),"&lt;/ul&gt;",""),"&lt;/strong&gt;",""))</f>
        <v>Nouvelle piste créée pour équipe Ventes. RDV programmé, pas d'autres actions ou retours mentionnés. Pas d'activité supplémentaire ni de retour prospect sur fonds présentés. Prochaines étapes non précisées, suivi à prévoir après le RDV.</v>
      </c>
      <c r="I60" s="12" cm="1" t="str">
        <f t="array" ref="I60">IF(C60="","",IF(OR(H60="",H60=0,H60=FALSE),"-",H60))</f>
        <v>Nouvelle piste créée pour équipe Ventes. RDV programmé, pas d'autres actions ou retours mentionnés. Pas d'activité supplémentaire ni de retour prospect sur fonds présentés. Prochaines étapes non précisées, suivi à prévoir après le RDV.</v>
      </c>
      <c r="J60" s="6">
</c>
      <c r="K60" s="6" t="s">
        <v>75</v>
      </c>
      <c r="L60" s="6" cm="1" t="str">
        <f t="array" ref="L60">IF(C60="","",IF(K60="Mort / Plus rien à faire","KO","OK"))</f>
        <v>OK</v>
      </c>
      <c r="M60" s="13">
        <v>46171.70927083334</v>
      </c>
      <c r="N60" s="13" cm="1" t="n">
        <f t="array" ref="N60">IF(OR(C60="",M60="",M60=0),"",M60)</f>
        <v>46171.70927083334</v>
      </c>
      <c r="O60" s="13">
</c>
      <c r="P60" s="13" cm="1" t="str">
        <f t="array" ref="P60">IF(C60="","",IF(OR(O60="",O60=0),"-",O60))</f>
        <v>-</v>
      </c>
      <c r="Q60" s="14">
        <v>0</v>
      </c>
      <c r="R60" s="6" cm="1" t="str">
        <f t="array" ref="R60">IF(C60="","",ROUND(Q60/1000000,3)&amp;" M€")</f>
        <v>0 M€</v>
      </c>
      <c r="S60" s="15">
        <v>10</v>
      </c>
      <c r="T60" s="6" cm="1" t="str">
        <f t="array" ref="T60">IF(C60="","",SUBSTITUTE(S60,"","")&amp;"%")</f>
        <v>10%</v>
      </c>
      <c r="U60" s="12" cm="1" t="str">
        <f t="array" ref="U60">IF(($N60="")*($P60=""),"",IF(($N60&lt;&gt;"")*($N60&gt;TODAY()-9)*($N60&lt;TODAY()+1)*($P60&lt;&gt;"")*($P60&gt;=TODAY())*($P60&lt;=TODAY()+13),"Semaine passée &amp; à venir",IF(($N60&lt;&gt;"")*($N60&gt;TODAY()-9)*($N60&lt;TODAY()+1),"Semaine passée",IF(($P60&lt;&gt;"")*($P60&gt;=TODAY())*($P60&lt;=TODAY()+13),"À venir","Autre"))))</f>
        <v>Semaine passée</v>
      </c>
      <c r="V60" s="5" cm="1" t="n">
        <f t="array" ref="V60">IF(C60&lt;&gt;"",1,0)</f>
        <v>1</v>
      </c>
      <c r="W60" s="5">
</c>
      <c r="X60" s="5">
</c>
      <c r="Y60" s="5">
</c>
      <c r="Z60" s="5">
</c>
      <c r="AA60" s="5">
</c>
      <c r="AB60" s="5">
</c>
      <c r="AC60" s="5">
</c>
      <c r="AD60" s="5">
</c>
      <c r="AE60" s="5">
</c>
      <c r="AF60" s="5">
</c>
      <c r="AG60" s="5">
</c>
      <c r="AH60" s="5">
</c>
      <c r="AI60" s="5">
</c>
      <c r="AJ60" s="5">
</c>
      <c r="AK60" s="5">
</c>
    </row>
    <row r="61" ht="65.25" customHeight="1">
      <c r="A61" s="6" t="s">
        <v>23</v>
      </c>
      <c r="B61" s="6" t="s">
        <v>76</v>
      </c>
      <c r="C61" s="11" t="s">
        <v>219</v>
      </c>
      <c r="D61" s="11" t="s">
        <v>220</v>
      </c>
      <c r="E61" s="6" t="s">
        <v>57</v>
      </c>
      <c r="F61" s="6" t="s">
        <v>221</v>
      </c>
      <c r="G61" s="6" cm="1" t="str">
        <f t="array" ref="G61">IF(F61="","",SUBSTITUTE(SUBSTITUTE(SUBSTITUTE(SUBSTITUTE(F61,"&lt;li&gt;",CHAR(10)),"&lt;/li&gt;",""),"&lt;br&gt;",CHAR(10)),"&lt;strong&gt;",""))</f>
        <v>&lt;p&gt;Nouvelle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stade.&lt;/p&gt;</v>
      </c>
      <c r="H61" s="6" cm="1" t="str">
        <f t="array" ref="H61">IF(G61="","",SUBSTITUTE(SUBSTITUTE(SUBSTITUTE(SUBSTITUTE(SUBSTITUTE(G61,"&lt;p&gt;",""),"&lt;/p&gt;",""),"&lt;ul&gt;",""),"&lt;/ul&gt;",""),"&lt;/strong&gt;",""))</f>
        <v>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v>
      </c>
      <c r="I61" s="12" cm="1" t="str">
        <f t="array" ref="I61">IF(C61="","",IF(OR(H61="",H61=0,H61=FALSE),"-",H61))</f>
        <v>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v>
      </c>
      <c r="J61" s="6">
</c>
      <c r="K61" s="6" t="s">
        <v>75</v>
      </c>
      <c r="L61" s="6" cm="1" t="str">
        <f t="array" ref="L61">IF(C61="","",IF(K61="Mort / Plus rien à faire","KO","OK"))</f>
        <v>OK</v>
      </c>
      <c r="M61" s="13">
        <v>46139.64231481482</v>
      </c>
      <c r="N61" s="13" cm="1" t="n">
        <f t="array" ref="N61">IF(OR(C61="",M61="",M61=0),"",M61)</f>
        <v>46139.64231481482</v>
      </c>
      <c r="O61" s="13">
</c>
      <c r="P61" s="13" cm="1" t="str">
        <f t="array" ref="P61">IF(C61="","",IF(OR(O61="",O61=0),"-",O61))</f>
        <v>-</v>
      </c>
      <c r="Q61" s="14">
        <v>0</v>
      </c>
      <c r="R61" s="6" cm="1" t="str">
        <f t="array" ref="R61">IF(C61="","",ROUND(Q61/1000000,3)&amp;" M€")</f>
        <v>0 M€</v>
      </c>
      <c r="S61" s="15">
        <v>10</v>
      </c>
      <c r="T61" s="6" cm="1" t="str">
        <f t="array" ref="T61">IF(C61="","",SUBSTITUTE(S61,"","")&amp;"%")</f>
        <v>10%</v>
      </c>
      <c r="U61" s="12" cm="1" t="str">
        <f t="array" ref="U61">IF(($N61="")*($P61=""),"",IF(($N61&lt;&gt;"")*($N61&gt;TODAY()-9)*($N61&lt;TODAY()+1)*($P61&lt;&gt;"")*($P61&gt;=TODAY())*($P61&lt;=TODAY()+13),"Semaine passée &amp; à venir",IF(($N61&lt;&gt;"")*($N61&gt;TODAY()-9)*($N61&lt;TODAY()+1),"Semaine passée",IF(($P61&lt;&gt;"")*($P61&gt;=TODAY())*($P61&lt;=TODAY()+13),"À venir","Autre"))))</f>
        <v>Autre</v>
      </c>
      <c r="V61" s="5" cm="1" t="n">
        <f t="array" ref="V61">IF(C61&lt;&gt;"",1,0)</f>
        <v>1</v>
      </c>
      <c r="W61" s="5">
</c>
      <c r="X61" s="5">
</c>
      <c r="Y61" s="5">
</c>
      <c r="Z61" s="5">
</c>
      <c r="AA61" s="5">
</c>
      <c r="AB61" s="5">
</c>
      <c r="AC61" s="5">
</c>
      <c r="AD61" s="5">
</c>
      <c r="AE61" s="5">
</c>
      <c r="AF61" s="5">
</c>
      <c r="AG61" s="5">
</c>
      <c r="AH61" s="5">
</c>
      <c r="AI61" s="5">
</c>
      <c r="AJ61" s="5">
</c>
      <c r="AK61" s="5">
</c>
    </row>
    <row r="62" ht="65.25" customHeight="1">
      <c r="A62" s="6" t="s">
        <v>23</v>
      </c>
      <c r="B62" s="6" t="s">
        <v>222</v>
      </c>
      <c r="C62" s="11" t="s">
        <v>223</v>
      </c>
      <c r="D62" s="11" t="s">
        <v>224</v>
      </c>
      <c r="E62" s="6" t="s">
        <v>57</v>
      </c>
      <c r="F62" s="6" t="s">
        <v>225</v>
      </c>
      <c r="G62" s="6" cm="1" t="str">
        <f t="array" ref="G62">IF(F62="","",SUBSTITUTE(SUBSTITUTE(SUBSTITUTE(SUBSTITUTE(F62,"&lt;li&gt;",CHAR(10)),"&lt;/li&gt;",""),"&lt;br&gt;",CHAR(10)),"&lt;strong&gt;",""))</f>
        <v>&lt;p&gt;Client apporté par François Jacob. Prospect intéressé, RDV en cours de programmation au 05/05/26, relance à prévoir. Confirme investir 400k dans Procession via SAS Kairos. Nouvelle piste créée pour équipe Ventes. Pas d'autres activités ou retours détaillés à ce stade.&lt;/p&gt;</v>
      </c>
      <c r="H62" s="6" cm="1" t="str">
        <f t="array" ref="H62">IF(G62="","",SUBSTITUTE(SUBSTITUTE(SUBSTITUTE(SUBSTITUTE(SUBSTITUTE(G62,"&lt;p&gt;",""),"&lt;/p&gt;",""),"&lt;ul&gt;",""),"&lt;/ul&gt;",""),"&lt;/strong&gt;",""))</f>
        <v>Client apporté par François Jacob. Prospect intéressé, RDV en cours de programmation au 05/05/26, relance à prévoir. Confirme investir 400k dans Procession via SAS Kairos. Nouvelle piste créée pour équipe Ventes. Pas d'autres activités ou retours détaillés à ce stade.</v>
      </c>
      <c r="I62" s="12" cm="1" t="str">
        <f t="array" ref="I62">IF(C62="","",IF(OR(H62="",H62=0,H62=FALSE),"-",H62))</f>
        <v>Client apporté par François Jacob. Prospect intéressé, RDV en cours de programmation au 05/05/26, relance à prévoir. Confirme investir 400k dans Procession via SAS Kairos. Nouvelle piste créée pour équipe Ventes. Pas d'autres activités ou retours détaillés à ce stade.</v>
      </c>
      <c r="J62" s="6">
</c>
      <c r="K62" s="6" t="s">
        <v>75</v>
      </c>
      <c r="L62" s="6" cm="1" t="str">
        <f t="array" ref="L62">IF(C62="","",IF(K62="Mort / Plus rien à faire","KO","OK"))</f>
        <v>OK</v>
      </c>
      <c r="M62" s="13">
        <v>46149.61363425926</v>
      </c>
      <c r="N62" s="13" cm="1" t="n">
        <f t="array" ref="N62">IF(OR(C62="",M62="",M62=0),"",M62)</f>
        <v>46149.61363425926</v>
      </c>
      <c r="O62" s="13">
</c>
      <c r="P62" s="13" cm="1" t="str">
        <f t="array" ref="P62">IF(C62="","",IF(OR(O62="",O62=0),"-",O62))</f>
        <v>-</v>
      </c>
      <c r="Q62" s="14">
        <v>0</v>
      </c>
      <c r="R62" s="6" cm="1" t="str">
        <f t="array" ref="R62">IF(C62="","",ROUND(Q62/1000000,3)&amp;" M€")</f>
        <v>0 M€</v>
      </c>
      <c r="S62" s="15">
        <v>10</v>
      </c>
      <c r="T62" s="6" cm="1" t="str">
        <f t="array" ref="T62">IF(C62="","",SUBSTITUTE(S62,"","")&amp;"%")</f>
        <v>10%</v>
      </c>
      <c r="U62" s="12" cm="1" t="str">
        <f t="array" ref="U62">IF(($N62="")*($P62=""),"",IF(($N62&lt;&gt;"")*($N62&gt;TODAY()-9)*($N62&lt;TODAY()+1)*($P62&lt;&gt;"")*($P62&gt;=TODAY())*($P62&lt;=TODAY()+13),"Semaine passée &amp; à venir",IF(($N62&lt;&gt;"")*($N62&gt;TODAY()-9)*($N62&lt;TODAY()+1),"Semaine passée",IF(($P62&lt;&gt;"")*($P62&gt;=TODAY())*($P62&lt;=TODAY()+13),"À venir","Autre"))))</f>
        <v>Autre</v>
      </c>
      <c r="V62" s="5" cm="1" t="n">
        <f t="array" ref="V62">IF(C62&lt;&gt;"",1,0)</f>
        <v>1</v>
      </c>
      <c r="W62" s="5">
</c>
      <c r="X62" s="5">
</c>
      <c r="Y62" s="5">
</c>
      <c r="Z62" s="5">
</c>
      <c r="AA62" s="5">
</c>
      <c r="AB62" s="5">
</c>
      <c r="AC62" s="5">
</c>
      <c r="AD62" s="5">
</c>
      <c r="AE62" s="5">
</c>
      <c r="AF62" s="5">
</c>
      <c r="AG62" s="5">
</c>
      <c r="AH62" s="5">
</c>
      <c r="AI62" s="5">
</c>
      <c r="AJ62" s="5">
</c>
      <c r="AK62" s="5">
</c>
    </row>
    <row r="63" ht="65.25" customHeight="1">
      <c r="A63" s="6" t="s">
        <v>23</v>
      </c>
      <c r="B63" s="6" t="s">
        <v>24</v>
      </c>
      <c r="C63" s="11" t="s">
        <v>226</v>
      </c>
      <c r="D63" s="11" t="s">
        <v>227</v>
      </c>
      <c r="E63" s="6" t="s">
        <v>57</v>
      </c>
      <c r="F63" s="6" t="s">
        <v>228</v>
      </c>
      <c r="G63" s="6" cm="1" t="str">
        <f t="array" ref="G63">IF(F63="","",SUBSTITUTE(SUBSTITUTE(SUBSTITUTE(SUBSTITUTE(F63,"&lt;li&gt;",CHAR(10)),"&lt;/li&gt;",""),"&lt;br&gt;",CHAR(10)),"&lt;strong&gt;",""))</f>
        <v>&lt;p&gt;Nouvelle piste créée pour équipe Ventes. RDV en cours de programmation, aucun retour prospect ni action complémentaire mentionnée à ce stade. Pas d'autres activités, échanges ou conclusions recensés. Prochaines étapes : fixer le RDV, attendre retour du prospect.&lt;/p&gt;</v>
      </c>
      <c r="H63" s="6" cm="1" t="str">
        <f t="array" ref="H63">IF(G63="","",SUBSTITUTE(SUBSTITUTE(SUBSTITUTE(SUBSTITUTE(SUBSTITUTE(G63,"&lt;p&gt;",""),"&lt;/p&gt;",""),"&lt;ul&gt;",""),"&lt;/ul&gt;",""),"&lt;/strong&gt;",""))</f>
        <v>Nouvelle piste créée pour équipe Ventes. RDV en cours de programmation, aucun retour prospect ni action complémentaire mentionnée à ce stade. Pas d'autres activités, échanges ou conclusions recensés. Prochaines étapes : fixer le RDV, attendre retour du prospect.</v>
      </c>
      <c r="I63" s="12" cm="1" t="str">
        <f t="array" ref="I63">IF(C63="","",IF(OR(H63="",H63=0,H63=FALSE),"-",H63))</f>
        <v>Nouvelle piste créée pour équipe Ventes. RDV en cours de programmation, aucun retour prospect ni action complémentaire mentionnée à ce stade. Pas d'autres activités, échanges ou conclusions recensés. Prochaines étapes : fixer le RDV, attendre retour du prospect.</v>
      </c>
      <c r="J63" s="6">
</c>
      <c r="K63" s="6" t="s">
        <v>75</v>
      </c>
      <c r="L63" s="6" cm="1" t="str">
        <f t="array" ref="L63">IF(C63="","",IF(K63="Mort / Plus rien à faire","KO","OK"))</f>
        <v>OK</v>
      </c>
      <c r="M63" s="13">
        <v>46149.61881944445</v>
      </c>
      <c r="N63" s="13" cm="1" t="n">
        <f t="array" ref="N63">IF(OR(C63="",M63="",M63=0),"",M63)</f>
        <v>46149.61881944445</v>
      </c>
      <c r="O63" s="13">
</c>
      <c r="P63" s="13" cm="1" t="str">
        <f t="array" ref="P63">IF(C63="","",IF(OR(O63="",O63=0),"-",O63))</f>
        <v>-</v>
      </c>
      <c r="Q63" s="14">
        <v>0</v>
      </c>
      <c r="R63" s="6" cm="1" t="str">
        <f t="array" ref="R63">IF(C63="","",ROUND(Q63/1000000,3)&amp;" M€")</f>
        <v>0 M€</v>
      </c>
      <c r="S63" s="15">
        <v>10</v>
      </c>
      <c r="T63" s="6" cm="1" t="str">
        <f t="array" ref="T63">IF(C63="","",SUBSTITUTE(S63,"","")&amp;"%")</f>
        <v>10%</v>
      </c>
      <c r="U63" s="12" cm="1" t="str">
        <f t="array" ref="U63">IF(($N63="")*($P63=""),"",IF(($N63&lt;&gt;"")*($N63&gt;TODAY()-9)*($N63&lt;TODAY()+1)*($P63&lt;&gt;"")*($P63&gt;=TODAY())*($P63&lt;=TODAY()+13),"Semaine passée &amp; à venir",IF(($N63&lt;&gt;"")*($N63&gt;TODAY()-9)*($N63&lt;TODAY()+1),"Semaine passée",IF(($P63&lt;&gt;"")*($P63&gt;=TODAY())*($P63&lt;=TODAY()+13),"À venir","Autre"))))</f>
        <v>Autre</v>
      </c>
      <c r="V63" s="5" cm="1" t="n">
        <f t="array" ref="V63">IF(C63&lt;&gt;"",1,0)</f>
        <v>1</v>
      </c>
      <c r="W63" s="5">
</c>
      <c r="X63" s="5">
</c>
      <c r="Y63" s="5">
</c>
      <c r="Z63" s="5">
</c>
      <c r="AA63" s="5">
</c>
      <c r="AB63" s="5">
</c>
      <c r="AC63" s="5">
</c>
      <c r="AD63" s="5">
</c>
      <c r="AE63" s="5">
</c>
      <c r="AF63" s="5">
</c>
      <c r="AG63" s="5">
</c>
      <c r="AH63" s="5">
</c>
      <c r="AI63" s="5">
</c>
      <c r="AJ63" s="5">
</c>
      <c r="AK63" s="5">
</c>
    </row>
    <row r="64" ht="65.25" customHeight="1">
      <c r="A64" s="6" t="s">
        <v>23</v>
      </c>
      <c r="B64" s="6">
</c>
      <c r="C64" s="11" t="s">
        <v>229</v>
      </c>
      <c r="D64" s="11" t="s">
        <v>230</v>
      </c>
      <c r="E64" s="6" t="s">
        <v>57</v>
      </c>
      <c r="F64" s="6" t="s">
        <v>231</v>
      </c>
      <c r="G64" s="6" cm="1" t="str">
        <f t="array" ref="G64">IF(F64="","",SUBSTITUTE(SUBSTITUTE(SUBSTITUTE(SUBSTITUTE(F64,"&lt;li&gt;",CHAR(10)),"&lt;/li&gt;",""),"&lt;br&gt;",CHAR(10)),"&lt;strong&gt;",""))</f>
        <v>&lt;p&gt;Piste créée pour équipe Ventes, email prospect non valide, enrichissement impossible. Déjà pitché, à recontacter par LG. Pas d'autres actions ni retours prospect sur fonds. Prochaine étape : prise de contact par LG. Aucun passage en comité mentionné.&lt;/p&gt;</v>
      </c>
      <c r="H64" s="6" cm="1" t="str">
        <f t="array" ref="H64">IF(G64="","",SUBSTITUTE(SUBSTITUTE(SUBSTITUTE(SUBSTITUTE(SUBSTITUTE(G64,"&lt;p&gt;",""),"&lt;/p&gt;",""),"&lt;ul&gt;",""),"&lt;/ul&gt;",""),"&lt;/strong&gt;",""))</f>
        <v>Piste créée pour équipe Ventes, email prospect non valide, enrichissement impossible. Déjà pitché, à recontacter par LG. Pas d'autres actions ni retours prospect sur fonds. Prochaine étape : prise de contact par LG. Aucun passage en comité mentionné.</v>
      </c>
      <c r="I64" s="12" cm="1" t="str">
        <f t="array" ref="I64">IF(C64="","",IF(OR(H64="",H64=0,H64=FALSE),"-",H64))</f>
        <v>Piste créée pour équipe Ventes, email prospect non valide, enrichissement impossible. Déjà pitché, à recontacter par LG. Pas d'autres actions ni retours prospect sur fonds. Prochaine étape : prise de contact par LG. Aucun passage en comité mentionné.</v>
      </c>
      <c r="J64" s="6">
</c>
      <c r="K64" s="6" t="s">
        <v>75</v>
      </c>
      <c r="L64" s="6" cm="1" t="str">
        <f t="array" ref="L64">IF(C64="","",IF(K64="Mort / Plus rien à faire","KO","OK"))</f>
        <v>OK</v>
      </c>
      <c r="M64" s="13">
        <v>46139.634305555555</v>
      </c>
      <c r="N64" s="13" cm="1" t="n">
        <f t="array" ref="N64">IF(OR(C64="",M64="",M64=0),"",M64)</f>
        <v>46139.634305555555</v>
      </c>
      <c r="O64" s="13">
</c>
      <c r="P64" s="13" cm="1" t="str">
        <f t="array" ref="P64">IF(C64="","",IF(OR(O64="",O64=0),"-",O64))</f>
        <v>-</v>
      </c>
      <c r="Q64" s="14">
        <v>0</v>
      </c>
      <c r="R64" s="6" cm="1" t="str">
        <f t="array" ref="R64">IF(C64="","",ROUND(Q64/1000000,3)&amp;" M€")</f>
        <v>0 M€</v>
      </c>
      <c r="S64" s="15">
        <v>10</v>
      </c>
      <c r="T64" s="6" cm="1" t="str">
        <f t="array" ref="T64">IF(C64="","",SUBSTITUTE(S64,"","")&amp;"%")</f>
        <v>10%</v>
      </c>
      <c r="U64" s="12" cm="1" t="str">
        <f t="array" ref="U64">IF(($N64="")*($P64=""),"",IF(($N64&lt;&gt;"")*($N64&gt;TODAY()-9)*($N64&lt;TODAY()+1)*($P64&lt;&gt;"")*($P64&gt;=TODAY())*($P64&lt;=TODAY()+13),"Semaine passée &amp; à venir",IF(($N64&lt;&gt;"")*($N64&gt;TODAY()-9)*($N64&lt;TODAY()+1),"Semaine passée",IF(($P64&lt;&gt;"")*($P64&gt;=TODAY())*($P64&lt;=TODAY()+13),"À venir","Autre"))))</f>
        <v>Autre</v>
      </c>
      <c r="V64" s="5" cm="1" t="n">
        <f t="array" ref="V64">IF(C64&lt;&gt;"",1,0)</f>
        <v>1</v>
      </c>
      <c r="W64" s="5">
</c>
      <c r="X64" s="5">
</c>
      <c r="Y64" s="5">
</c>
      <c r="Z64" s="5">
</c>
      <c r="AA64" s="5">
</c>
      <c r="AB64" s="5">
</c>
      <c r="AC64" s="5">
</c>
      <c r="AD64" s="5">
</c>
      <c r="AE64" s="5">
</c>
      <c r="AF64" s="5">
</c>
      <c r="AG64" s="5">
</c>
      <c r="AH64" s="5">
</c>
      <c r="AI64" s="5">
</c>
      <c r="AJ64" s="5">
</c>
      <c r="AK64" s="5">
</c>
    </row>
    <row r="65" ht="65.25" customHeight="1">
      <c r="A65" s="6" t="s">
        <v>23</v>
      </c>
      <c r="B65" s="6" t="s">
        <v>76</v>
      </c>
      <c r="C65" s="11" t="s">
        <v>232</v>
      </c>
      <c r="D65" s="11" t="s">
        <v>233</v>
      </c>
      <c r="E65" s="6" t="s">
        <v>57</v>
      </c>
      <c r="F65" s="6" t="s">
        <v>234</v>
      </c>
      <c r="G65" s="6" cm="1" t="str">
        <f t="array" ref="G65">IF(F65="","",SUBSTITUTE(SUBSTITUTE(SUBSTITUTE(SUBSTITUTE(F65,"&lt;li&gt;",CHAR(10)),"&lt;/li&gt;",""),"&lt;br&gt;",CHAR(10)),"&lt;strong&gt;",""))</f>
        <v>&lt;p&gt;Nouvelle piste créée équipe Ventes. Tentative d'enrichissement échouée (email non valide). À contacter par LG, déjà pitché mais pas à cette personne. Pas d'autres actions ou retours prospect. Prochaine étape&amp;nbsp;: prise de contact par LG.&lt;/p&gt;</v>
      </c>
      <c r="H65" s="6" cm="1" t="str">
        <f t="array" ref="H65">IF(G65="","",SUBSTITUTE(SUBSTITUTE(SUBSTITUTE(SUBSTITUTE(SUBSTITUTE(G65,"&lt;p&gt;",""),"&lt;/p&gt;",""),"&lt;ul&gt;",""),"&lt;/ul&gt;",""),"&lt;/strong&gt;",""))</f>
        <v>Nouvelle piste créée équipe Ventes. Tentative d'enrichissement échouée (email non valide). À contacter par LG, déjà pitché mais pas à cette personne. Pas d'autres actions ou retours prospect. Prochaine étape&amp;nbsp;: prise de contact par LG.</v>
      </c>
      <c r="I65" s="12" cm="1" t="str">
        <f t="array" ref="I65">IF(C65="","",IF(OR(H65="",H65=0,H65=FALSE),"-",H65))</f>
        <v>Nouvelle piste créée équipe Ventes. Tentative d'enrichissement échouée (email non valide). À contacter par LG, déjà pitché mais pas à cette personne. Pas d'autres actions ou retours prospect. Prochaine étape&amp;nbsp;: prise de contact par LG.</v>
      </c>
      <c r="J65" s="6">
</c>
      <c r="K65" s="6" t="s">
        <v>75</v>
      </c>
      <c r="L65" s="6" cm="1" t="str">
        <f t="array" ref="L65">IF(C65="","",IF(K65="Mort / Plus rien à faire","KO","OK"))</f>
        <v>OK</v>
      </c>
      <c r="M65" s="13">
        <v>46139.63415509259</v>
      </c>
      <c r="N65" s="13" cm="1" t="n">
        <f t="array" ref="N65">IF(OR(C65="",M65="",M65=0),"",M65)</f>
        <v>46139.63415509259</v>
      </c>
      <c r="O65" s="13">
</c>
      <c r="P65" s="13" cm="1" t="str">
        <f t="array" ref="P65">IF(C65="","",IF(OR(O65="",O65=0),"-",O65))</f>
        <v>-</v>
      </c>
      <c r="Q65" s="14">
        <v>0</v>
      </c>
      <c r="R65" s="6" cm="1" t="str">
        <f t="array" ref="R65">IF(C65="","",ROUND(Q65/1000000,3)&amp;" M€")</f>
        <v>0 M€</v>
      </c>
      <c r="S65" s="15">
        <v>10</v>
      </c>
      <c r="T65" s="6" cm="1" t="str">
        <f t="array" ref="T65">IF(C65="","",SUBSTITUTE(S65,"","")&amp;"%")</f>
        <v>10%</v>
      </c>
      <c r="U65" s="12" cm="1" t="str">
        <f t="array" ref="U65">IF(($N65="")*($P65=""),"",IF(($N65&lt;&gt;"")*($N65&gt;TODAY()-9)*($N65&lt;TODAY()+1)*($P65&lt;&gt;"")*($P65&gt;=TODAY())*($P65&lt;=TODAY()+13),"Semaine passée &amp; à venir",IF(($N65&lt;&gt;"")*($N65&gt;TODAY()-9)*($N65&lt;TODAY()+1),"Semaine passée",IF(($P65&lt;&gt;"")*($P65&gt;=TODAY())*($P65&lt;=TODAY()+13),"À venir","Autre"))))</f>
        <v>Autre</v>
      </c>
      <c r="V65" s="5" cm="1" t="n">
        <f t="array" ref="V65">IF(C65&lt;&gt;"",1,0)</f>
        <v>1</v>
      </c>
      <c r="W65" s="5">
</c>
      <c r="X65" s="5">
</c>
      <c r="Y65" s="5">
</c>
      <c r="Z65" s="5">
</c>
      <c r="AA65" s="5">
</c>
      <c r="AB65" s="5">
</c>
      <c r="AC65" s="5">
</c>
      <c r="AD65" s="5">
</c>
      <c r="AE65" s="5">
</c>
      <c r="AF65" s="5">
</c>
      <c r="AG65" s="5">
</c>
      <c r="AH65" s="5">
</c>
      <c r="AI65" s="5">
</c>
      <c r="AJ65" s="5">
</c>
      <c r="AK65" s="5">
</c>
    </row>
    <row r="66" ht="65.25" customHeight="1">
      <c r="A66" s="6" t="s">
        <v>23</v>
      </c>
      <c r="B66" s="6" t="s">
        <v>24</v>
      </c>
      <c r="C66" s="11" t="s">
        <v>235</v>
      </c>
      <c r="D66" s="11" t="s">
        <v>236</v>
      </c>
      <c r="E66" s="6" t="s">
        <v>57</v>
      </c>
      <c r="F66" s="6" t="s">
        <v>237</v>
      </c>
      <c r="G66" s="6" cm="1" t="str">
        <f t="array" ref="G66">IF(F66="","",SUBSTITUTE(SUBSTITUTE(SUBSTITUTE(SUBSTITUTE(F66,"&lt;li&gt;",CHAR(10)),"&lt;/li&gt;",""),"&lt;br&gt;",CHAR(10)),"&lt;strong&gt;",""))</f>
        <v>&lt;p&gt;Prospect lance son cabinet, pas encore d’agrément, souhaite infos sur nos fonds. Nouvelle piste créée pour équipe Ventes. Aucun échange ou activité supplémentaire relevé à ce jour. Prochaine étape : fournir détails sur nos fonds dès que prospect prêt. Pas d’avis prospect sur fonds pour l’instant.&lt;/p&gt;</v>
      </c>
      <c r="H66" s="6" cm="1" t="str">
        <f t="array" ref="H66">IF(G66="","",SUBSTITUTE(SUBSTITUTE(SUBSTITUTE(SUBSTITUTE(SUBSTITUTE(G66,"&lt;p&gt;",""),"&lt;/p&gt;",""),"&lt;ul&gt;",""),"&lt;/ul&gt;",""),"&lt;/strong&gt;",""))</f>
        <v>Prospect lance son cabinet, pas encore d’agrément, souhaite infos sur nos fonds. Nouvelle piste créée pour équipe Ventes. Aucun échange ou activité supplémentaire relevé à ce jour. Prochaine étape : fournir détails sur nos fonds dès que prospect prêt. Pas d’avis prospect sur fonds pour l’instant.</v>
      </c>
      <c r="I66" s="12" cm="1" t="str">
        <f t="array" ref="I66">IF(C66="","",IF(OR(H66="",H66=0,H66=FALSE),"-",H66))</f>
        <v>Prospect lance son cabinet, pas encore d’agrément, souhaite infos sur nos fonds. Nouvelle piste créée pour équipe Ventes. Aucun échange ou activité supplémentaire relevé à ce jour. Prochaine étape : fournir détails sur nos fonds dès que prospect prêt. Pas d’avis prospect sur fonds pour l’instant.</v>
      </c>
      <c r="J66" s="6">
</c>
      <c r="K66" s="6" t="s">
        <v>75</v>
      </c>
      <c r="L66" s="6" cm="1" t="str">
        <f t="array" ref="L66">IF(C66="","",IF(K66="Mort / Plus rien à faire","KO","OK"))</f>
        <v>OK</v>
      </c>
      <c r="M66" s="13">
        <v>46171.71068287037</v>
      </c>
      <c r="N66" s="13" cm="1" t="n">
        <f t="array" ref="N66">IF(OR(C66="",M66="",M66=0),"",M66)</f>
        <v>46171.71068287037</v>
      </c>
      <c r="O66" s="13">
</c>
      <c r="P66" s="13" cm="1" t="str">
        <f t="array" ref="P66">IF(C66="","",IF(OR(O66="",O66=0),"-",O66))</f>
        <v>-</v>
      </c>
      <c r="Q66" s="14">
        <v>0</v>
      </c>
      <c r="R66" s="6" cm="1" t="str">
        <f t="array" ref="R66">IF(C66="","",ROUND(Q66/1000000,3)&amp;" M€")</f>
        <v>0 M€</v>
      </c>
      <c r="S66" s="15">
        <v>10</v>
      </c>
      <c r="T66" s="6" cm="1" t="str">
        <f t="array" ref="T66">IF(C66="","",SUBSTITUTE(S66,"","")&amp;"%")</f>
        <v>10%</v>
      </c>
      <c r="U66" s="12" cm="1" t="str">
        <f t="array" ref="U66">IF(($N66="")*($P66=""),"",IF(($N66&lt;&gt;"")*($N66&gt;TODAY()-9)*($N66&lt;TODAY()+1)*($P66&lt;&gt;"")*($P66&gt;=TODAY())*($P66&lt;=TODAY()+13),"Semaine passée &amp; à venir",IF(($N66&lt;&gt;"")*($N66&gt;TODAY()-9)*($N66&lt;TODAY()+1),"Semaine passée",IF(($P66&lt;&gt;"")*($P66&gt;=TODAY())*($P66&lt;=TODAY()+13),"À venir","Autre"))))</f>
        <v>Semaine passée</v>
      </c>
      <c r="V66" s="5" cm="1" t="n">
        <f t="array" ref="V66">IF(C66&lt;&gt;"",1,0)</f>
        <v>1</v>
      </c>
      <c r="W66" s="5">
</c>
      <c r="X66" s="5">
</c>
      <c r="Y66" s="5">
</c>
      <c r="Z66" s="5">
</c>
      <c r="AA66" s="5">
</c>
      <c r="AB66" s="5">
</c>
      <c r="AC66" s="5">
</c>
      <c r="AD66" s="5">
</c>
      <c r="AE66" s="5">
</c>
      <c r="AF66" s="5">
</c>
      <c r="AG66" s="5">
</c>
      <c r="AH66" s="5">
</c>
      <c r="AI66" s="5">
</c>
      <c r="AJ66" s="5">
</c>
      <c r="AK66" s="5">
</c>
    </row>
    <row r="67" ht="65.25" customHeight="1">
      <c r="A67" s="6" t="s">
        <v>23</v>
      </c>
      <c r="B67" s="6">
</c>
      <c r="C67" s="11" t="s">
        <v>238</v>
      </c>
      <c r="D67" s="11" t="s">
        <v>239</v>
      </c>
      <c r="E67" s="6" t="s">
        <v>57</v>
      </c>
      <c r="F67" s="6" t="s">
        <v>240</v>
      </c>
      <c r="G67" s="6" cm="1" t="str">
        <f t="array" ref="G67">IF(F67="","",SUBSTITUTE(SUBSTITUTE(SUBSTITUTE(SUBSTITUTE(F67,"&lt;li&gt;",CHAR(10)),"&lt;/li&gt;",""),"&lt;br&gt;",CHAR(10)),"&lt;strong&gt;",""))</f>
        <v>&lt;p&gt;Piste créée équipe Ventes. Enrichissement lead impossible (email invalide). Prospect déjà pitché, à recontacter par LG. Pas d'autres actions ou retours prospect mentionnés. Prochaine étape : relancer contact par LG. Aucun retour prospect sur fonds présenté à ce stade.&lt;/p&gt;</v>
      </c>
      <c r="H67" s="6" cm="1" t="str">
        <f t="array" ref="H67">IF(G67="","",SUBSTITUTE(SUBSTITUTE(SUBSTITUTE(SUBSTITUTE(SUBSTITUTE(G67,"&lt;p&gt;",""),"&lt;/p&gt;",""),"&lt;ul&gt;",""),"&lt;/ul&gt;",""),"&lt;/strong&gt;",""))</f>
        <v>Piste créée équipe Ventes. Enrichissement lead impossible (email invalide). Prospect déjà pitché, à recontacter par LG. Pas d'autres actions ou retours prospect mentionnés. Prochaine étape : relancer contact par LG. Aucun retour prospect sur fonds présenté à ce stade.</v>
      </c>
      <c r="I67" s="12" cm="1" t="str">
        <f t="array" ref="I67">IF(C67="","",IF(OR(H67="",H67=0,H67=FALSE),"-",H67))</f>
        <v>Piste créée équipe Ventes. Enrichissement lead impossible (email invalide). Prospect déjà pitché, à recontacter par LG. Pas d'autres actions ou retours prospect mentionnés. Prochaine étape : relancer contact par LG. Aucun retour prospect sur fonds présenté à ce stade.</v>
      </c>
      <c r="J67" s="6">
</c>
      <c r="K67" s="6" t="s">
        <v>75</v>
      </c>
      <c r="L67" s="6" cm="1" t="str">
        <f t="array" ref="L67">IF(C67="","",IF(K67="Mort / Plus rien à faire","KO","OK"))</f>
        <v>OK</v>
      </c>
      <c r="M67" s="13">
        <v>46139.634039351855</v>
      </c>
      <c r="N67" s="13" cm="1" t="n">
        <f t="array" ref="N67">IF(OR(C67="",M67="",M67=0),"",M67)</f>
        <v>46139.634039351855</v>
      </c>
      <c r="O67" s="13">
</c>
      <c r="P67" s="13" cm="1" t="str">
        <f t="array" ref="P67">IF(C67="","",IF(OR(O67="",O67=0),"-",O67))</f>
        <v>-</v>
      </c>
      <c r="Q67" s="14">
        <v>0</v>
      </c>
      <c r="R67" s="6" cm="1" t="str">
        <f t="array" ref="R67">IF(C67="","",ROUND(Q67/1000000,3)&amp;" M€")</f>
        <v>0 M€</v>
      </c>
      <c r="S67" s="15">
        <v>10</v>
      </c>
      <c r="T67" s="6" cm="1" t="str">
        <f t="array" ref="T67">IF(C67="","",SUBSTITUTE(S67,"","")&amp;"%")</f>
        <v>10%</v>
      </c>
      <c r="U67" s="12" cm="1" t="str">
        <f t="array" ref="U67">IF(($N67="")*($P67=""),"",IF(($N67&lt;&gt;"")*($N67&gt;TODAY()-9)*($N67&lt;TODAY()+1)*($P67&lt;&gt;"")*($P67&gt;=TODAY())*($P67&lt;=TODAY()+13),"Semaine passée &amp; à venir",IF(($N67&lt;&gt;"")*($N67&gt;TODAY()-9)*($N67&lt;TODAY()+1),"Semaine passée",IF(($P67&lt;&gt;"")*($P67&gt;=TODAY())*($P67&lt;=TODAY()+13),"À venir","Autre"))))</f>
        <v>Autre</v>
      </c>
      <c r="V67" s="5" cm="1" t="n">
        <f t="array" ref="V67">IF(C67&lt;&gt;"",1,0)</f>
        <v>1</v>
      </c>
      <c r="W67" s="5">
</c>
      <c r="X67" s="5">
</c>
      <c r="Y67" s="5">
</c>
      <c r="Z67" s="5">
</c>
      <c r="AA67" s="5">
</c>
      <c r="AB67" s="5">
</c>
      <c r="AC67" s="5">
</c>
      <c r="AD67" s="5">
</c>
      <c r="AE67" s="5">
</c>
      <c r="AF67" s="5">
</c>
      <c r="AG67" s="5">
</c>
      <c r="AH67" s="5">
</c>
      <c r="AI67" s="5">
</c>
      <c r="AJ67" s="5">
</c>
      <c r="AK67" s="5">
</c>
    </row>
    <row r="68" ht="65.25" customHeight="1">
      <c r="A68" s="6" t="s">
        <v>23</v>
      </c>
      <c r="B68" s="6" t="s">
        <v>24</v>
      </c>
      <c r="C68" s="11" t="s">
        <v>241</v>
      </c>
      <c r="D68" s="11" t="s">
        <v>242</v>
      </c>
      <c r="E68" s="6" t="s">
        <v>57</v>
      </c>
      <c r="F68" s="6" t="s">
        <v>243</v>
      </c>
      <c r="G68" s="6" cm="1" t="str">
        <f t="array" ref="G68">IF(F68="","",SUBSTITUTE(SUBSTITUTE(SUBSTITUTE(SUBSTITUTE(F68,"&lt;li&gt;",CHAR(10)),"&lt;/li&gt;",""),"&lt;br&gt;",CHAR(10)),"&lt;strong&gt;",""))</f>
        <v>&lt;p&gt;Aucune activité menée sur le prospect. Nouvelle piste créée pour l'équipe Ventes, pas d'interactions, pas de retours ni d'actions enregistrées à ce jour. Aucun échange ou suivi identifié, aucune prochaine étape planifiée, aucune conclusion prospect disponible.&lt;/p&gt;</v>
      </c>
      <c r="H68" s="6" cm="1" t="str">
        <f t="array" ref="H68">IF(G68="","",SUBSTITUTE(SUBSTITUTE(SUBSTITUTE(SUBSTITUTE(SUBSTITUTE(G68,"&lt;p&gt;",""),"&lt;/p&gt;",""),"&lt;ul&gt;",""),"&lt;/ul&gt;",""),"&lt;/strong&gt;",""))</f>
        <v>Aucune activité menée sur le prospect. Nouvelle piste créée pour l'équipe Ventes, pas d'interactions, pas de retours ni d'actions enregistrées à ce jour. Aucun échange ou suivi identifié, aucune prochaine étape planifiée, aucune conclusion prospect disponible.</v>
      </c>
      <c r="I68" s="12" cm="1" t="str">
        <f t="array" ref="I68">IF(C68="","",IF(OR(H68="",H68=0,H68=FALSE),"-",H68))</f>
        <v>Aucune activité menée sur le prospect. Nouvelle piste créée pour l'équipe Ventes, pas d'interactions, pas de retours ni d'actions enregistrées à ce jour. Aucun échange ou suivi identifié, aucune prochaine étape planifiée, aucune conclusion prospect disponible.</v>
      </c>
      <c r="J68" s="6">
</c>
      <c r="K68" s="6" t="s">
        <v>75</v>
      </c>
      <c r="L68" s="6" cm="1" t="str">
        <f t="array" ref="L68">IF(C68="","",IF(K68="Mort / Plus rien à faire","KO","OK"))</f>
        <v>OK</v>
      </c>
      <c r="M68" s="13">
        <v>46149.61960648148</v>
      </c>
      <c r="N68" s="13" cm="1" t="n">
        <f t="array" ref="N68">IF(OR(C68="",M68="",M68=0),"",M68)</f>
        <v>46149.61960648148</v>
      </c>
      <c r="O68" s="13">
</c>
      <c r="P68" s="13" cm="1" t="str">
        <f t="array" ref="P68">IF(C68="","",IF(OR(O68="",O68=0),"-",O68))</f>
        <v>-</v>
      </c>
      <c r="Q68" s="14">
        <v>0</v>
      </c>
      <c r="R68" s="6" cm="1" t="str">
        <f t="array" ref="R68">IF(C68="","",ROUND(Q68/1000000,3)&amp;" M€")</f>
        <v>0 M€</v>
      </c>
      <c r="S68" s="15">
        <v>10</v>
      </c>
      <c r="T68" s="6" cm="1" t="str">
        <f t="array" ref="T68">IF(C68="","",SUBSTITUTE(S68,"","")&amp;"%")</f>
        <v>10%</v>
      </c>
      <c r="U68" s="12" cm="1" t="str">
        <f t="array" ref="U68">IF(($N68="")*($P68=""),"",IF(($N68&lt;&gt;"")*($N68&gt;TODAY()-9)*($N68&lt;TODAY()+1)*($P68&lt;&gt;"")*($P68&gt;=TODAY())*($P68&lt;=TODAY()+13),"Semaine passée &amp; à venir",IF(($N68&lt;&gt;"")*($N68&gt;TODAY()-9)*($N68&lt;TODAY()+1),"Semaine passée",IF(($P68&lt;&gt;"")*($P68&gt;=TODAY())*($P68&lt;=TODAY()+13),"À venir","Autre"))))</f>
        <v>Autre</v>
      </c>
      <c r="V68" s="5" cm="1" t="n">
        <f t="array" ref="V68">IF(C68&lt;&gt;"",1,0)</f>
        <v>1</v>
      </c>
      <c r="W68" s="5">
</c>
      <c r="X68" s="5">
</c>
      <c r="Y68" s="5">
</c>
      <c r="Z68" s="5">
</c>
      <c r="AA68" s="5">
</c>
      <c r="AB68" s="5">
</c>
      <c r="AC68" s="5">
</c>
      <c r="AD68" s="5">
</c>
      <c r="AE68" s="5">
</c>
      <c r="AF68" s="5">
</c>
      <c r="AG68" s="5">
</c>
      <c r="AH68" s="5">
</c>
      <c r="AI68" s="5">
</c>
      <c r="AJ68" s="5">
</c>
      <c r="AK68" s="5">
</c>
    </row>
    <row r="69" ht="65.25" customHeight="1">
      <c r="A69" s="6" t="s">
        <v>23</v>
      </c>
      <c r="B69" s="6" t="s">
        <v>70</v>
      </c>
      <c r="C69" s="11" t="s">
        <v>148</v>
      </c>
      <c r="D69" s="11" t="s">
        <v>244</v>
      </c>
      <c r="E69" s="6" t="s">
        <v>53</v>
      </c>
      <c r="F69" s="6" t="s">
        <v>245</v>
      </c>
      <c r="G69" s="6" cm="1" t="str">
        <f t="array" ref="G69">IF(F69="","",SUBSTITUTE(SUBSTITUTE(SUBSTITUTE(SUBSTITUTE(F69,"&lt;li&gt;",CHAR(10)),"&lt;/li&gt;",""),"&lt;br&gt;",CHAR(10)),"&lt;strong&gt;",""))</f>
        <v>&lt;p&gt;Déj 07/04/2026 CJ/Bourdin&amp;nbsp;: intérêt club deal tech (IndoSuez), lead FCPI 2027, préparer candidature remplacement mandat Partech. Mail CJ&amp;nbsp;: envoi doc FCPI, brainstorming véhicule commun pour 2027, dispo pour questions. Prochaine étape&amp;nbsp;: actions à suivre par Cedric, deadline 24/04/2026.&lt;/p&gt;</v>
      </c>
      <c r="H69" s="6" cm="1" t="str">
        <f t="array" ref="H69">IF(G69="","",SUBSTITUTE(SUBSTITUTE(SUBSTITUTE(SUBSTITUTE(SUBSTITUTE(G69,"&lt;p&gt;",""),"&lt;/p&gt;",""),"&lt;ul&gt;",""),"&lt;/ul&gt;",""),"&lt;/strong&gt;",""))</f>
        <v>Déj 07/04/2026 CJ/Bourdin&amp;nbsp;: intérêt club deal tech (IndoSuez), lead FCPI 2027, préparer candidature remplacement mandat Partech. Mail CJ&amp;nbsp;: envoi doc FCPI, brainstorming véhicule commun pour 2027, dispo pour questions. Prochaine étape&amp;nbsp;: actions à suivre par Cedric, deadline 24/04/2026.</v>
      </c>
      <c r="I69" s="12" cm="1" t="str">
        <f t="array" ref="I69">IF(C69="","",IF(OR(H69="",H69=0,H69=FALSE),"-",H69))</f>
        <v>Déj 07/04/2026 CJ/Bourdin&amp;nbsp;: intérêt club deal tech (IndoSuez), lead FCPI 2027, préparer candidature remplacement mandat Partech. Mail CJ&amp;nbsp;: envoi doc FCPI, brainstorming véhicule commun pour 2027, dispo pour questions. Prochaine étape&amp;nbsp;: actions à suivre par Cedric, deadline 24/04/2026.</v>
      </c>
      <c r="J69" s="6" t="s">
        <v>246</v>
      </c>
      <c r="K69" s="6" t="s">
        <v>75</v>
      </c>
      <c r="L69" s="6" cm="1" t="str">
        <f t="array" ref="L69">IF(C69="","",IF(K69="Mort / Plus rien à faire","KO","OK"))</f>
        <v>OK</v>
      </c>
      <c r="M69" s="13">
        <v>46125.42335648148</v>
      </c>
      <c r="N69" s="13" cm="1" t="n">
        <f t="array" ref="N69">IF(OR(C69="",M69="",M69=0),"",M69)</f>
        <v>46125.42335648148</v>
      </c>
      <c r="O69" s="13">
</c>
      <c r="P69" s="13" cm="1" t="str">
        <f t="array" ref="P69">IF(C69="","",IF(OR(O69="",O69=0),"-",O69))</f>
        <v>-</v>
      </c>
      <c r="Q69" s="14">
        <v>0</v>
      </c>
      <c r="R69" s="6" cm="1" t="str">
        <f t="array" ref="R69">IF(C69="","",ROUND(Q69/1000000,3)&amp;" M€")</f>
        <v>0 M€</v>
      </c>
      <c r="S69" s="15">
        <v>10</v>
      </c>
      <c r="T69" s="6" cm="1" t="str">
        <f t="array" ref="T69">IF(C69="","",SUBSTITUTE(S69,"","")&amp;"%")</f>
        <v>10%</v>
      </c>
      <c r="U69" s="12" cm="1" t="str">
        <f t="array" ref="U69">IF(($N69="")*($P69=""),"",IF(($N69&lt;&gt;"")*($N69&gt;TODAY()-9)*($N69&lt;TODAY()+1)*($P69&lt;&gt;"")*($P69&gt;=TODAY())*($P69&lt;=TODAY()+13),"Semaine passée &amp; à venir",IF(($N69&lt;&gt;"")*($N69&gt;TODAY()-9)*($N69&lt;TODAY()+1),"Semaine passée",IF(($P69&lt;&gt;"")*($P69&gt;=TODAY())*($P69&lt;=TODAY()+13),"À venir","Autre"))))</f>
        <v>Autre</v>
      </c>
      <c r="V69" s="5" cm="1" t="n">
        <f t="array" ref="V69">IF(C69&lt;&gt;"",1,0)</f>
        <v>1</v>
      </c>
      <c r="W69" s="5">
</c>
      <c r="X69" s="5">
</c>
      <c r="Y69" s="5">
</c>
      <c r="Z69" s="5">
</c>
      <c r="AA69" s="5">
</c>
      <c r="AB69" s="5">
</c>
      <c r="AC69" s="5">
</c>
      <c r="AD69" s="5">
</c>
      <c r="AE69" s="5">
</c>
      <c r="AF69" s="5">
</c>
      <c r="AG69" s="5">
</c>
      <c r="AH69" s="5">
</c>
      <c r="AI69" s="5">
</c>
      <c r="AJ69" s="5">
</c>
      <c r="AK69" s="5">
</c>
    </row>
    <row r="70" ht="65.25" customHeight="1">
      <c r="A70" s="6" t="s">
        <v>23</v>
      </c>
      <c r="B70" s="6" t="s">
        <v>24</v>
      </c>
      <c r="C70" s="11" t="s">
        <v>247</v>
      </c>
      <c r="D70" s="11" t="s">
        <v>248</v>
      </c>
      <c r="E70" s="6" t="s">
        <v>57</v>
      </c>
      <c r="F70" s="6" t="s">
        <v>249</v>
      </c>
      <c r="G70" s="6" cm="1" t="str">
        <f t="array" ref="G70">IF(F70="","",SUBSTITUTE(SUBSTITUTE(SUBSTITUTE(SUBSTITUTE(F70,"&lt;li&gt;",CHAR(10)),"&lt;/li&gt;",""),"&lt;br&gt;",CHAR(10)),"&lt;strong&gt;",""))</f>
        <v>&lt;p&gt;Nouvelle piste créée pour équipe Ventes, RDV programmé. Pas d'autres actions ou retours du prospect, aucune activité complémentaire enregistrée. Prochaines étapes non précisées, attente de retour suite au RDV. Aucun avis prospect sur fonds présenté à ce stade.&lt;/p&gt;</v>
      </c>
      <c r="H70" s="6" cm="1" t="str">
        <f t="array" ref="H70">IF(G70="","",SUBSTITUTE(SUBSTITUTE(SUBSTITUTE(SUBSTITUTE(SUBSTITUTE(G70,"&lt;p&gt;",""),"&lt;/p&gt;",""),"&lt;ul&gt;",""),"&lt;/ul&gt;",""),"&lt;/strong&gt;",""))</f>
        <v>Nouvelle piste créée pour équipe Ventes, RDV programmé. Pas d'autres actions ou retours du prospect, aucune activité complémentaire enregistrée. Prochaines étapes non précisées, attente de retour suite au RDV. Aucun avis prospect sur fonds présenté à ce stade.</v>
      </c>
      <c r="I70" s="12" cm="1" t="str">
        <f t="array" ref="I70">IF(C70="","",IF(OR(H70="",H70=0,H70=FALSE),"-",H70))</f>
        <v>Nouvelle piste créée pour équipe Ventes, RDV programmé. Pas d'autres actions ou retours du prospect, aucune activité complémentaire enregistrée. Prochaines étapes non précisées, attente de retour suite au RDV. Aucun avis prospect sur fonds présenté à ce stade.</v>
      </c>
      <c r="J70" s="6">
</c>
      <c r="K70" s="6" t="s">
        <v>75</v>
      </c>
      <c r="L70" s="6" cm="1" t="str">
        <f t="array" ref="L70">IF(C70="","",IF(K70="Mort / Plus rien à faire","KO","OK"))</f>
        <v>OK</v>
      </c>
      <c r="M70" s="13">
        <v>46171.711909722224</v>
      </c>
      <c r="N70" s="13" cm="1" t="n">
        <f t="array" ref="N70">IF(OR(C70="",M70="",M70=0),"",M70)</f>
        <v>46171.711909722224</v>
      </c>
      <c r="O70" s="13">
</c>
      <c r="P70" s="13" cm="1" t="str">
        <f t="array" ref="P70">IF(C70="","",IF(OR(O70="",O70=0),"-",O70))</f>
        <v>-</v>
      </c>
      <c r="Q70" s="14">
        <v>0</v>
      </c>
      <c r="R70" s="6" cm="1" t="str">
        <f t="array" ref="R70">IF(C70="","",ROUND(Q70/1000000,3)&amp;" M€")</f>
        <v>0 M€</v>
      </c>
      <c r="S70" s="15">
        <v>10</v>
      </c>
      <c r="T70" s="6" cm="1" t="str">
        <f t="array" ref="T70">IF(C70="","",SUBSTITUTE(S70,"","")&amp;"%")</f>
        <v>10%</v>
      </c>
      <c r="U70" s="12" cm="1" t="str">
        <f t="array" ref="U70">IF(($N70="")*($P70=""),"",IF(($N70&lt;&gt;"")*($N70&gt;TODAY()-9)*($N70&lt;TODAY()+1)*($P70&lt;&gt;"")*($P70&gt;=TODAY())*($P70&lt;=TODAY()+13),"Semaine passée &amp; à venir",IF(($N70&lt;&gt;"")*($N70&gt;TODAY()-9)*($N70&lt;TODAY()+1),"Semaine passée",IF(($P70&lt;&gt;"")*($P70&gt;=TODAY())*($P70&lt;=TODAY()+13),"À venir","Autre"))))</f>
        <v>Semaine passée</v>
      </c>
      <c r="V70" s="5" cm="1" t="n">
        <f t="array" ref="V70">IF(C70&lt;&gt;"",1,0)</f>
        <v>1</v>
      </c>
      <c r="W70" s="5">
</c>
      <c r="X70" s="5">
</c>
      <c r="Y70" s="5">
</c>
      <c r="Z70" s="5">
</c>
      <c r="AA70" s="5">
</c>
      <c r="AB70" s="5">
</c>
      <c r="AC70" s="5">
</c>
      <c r="AD70" s="5">
</c>
      <c r="AE70" s="5">
</c>
      <c r="AF70" s="5">
</c>
      <c r="AG70" s="5">
</c>
      <c r="AH70" s="5">
</c>
      <c r="AI70" s="5">
</c>
      <c r="AJ70" s="5">
</c>
      <c r="AK70" s="5">
</c>
    </row>
    <row r="71" ht="65.25" customHeight="1">
      <c r="A71" s="6" t="s">
        <v>23</v>
      </c>
      <c r="B71" s="6">
</c>
      <c r="C71" s="11" t="s">
        <v>250</v>
      </c>
      <c r="D71" s="11" t="s">
        <v>251</v>
      </c>
      <c r="E71" s="6" t="s">
        <v>38</v>
      </c>
      <c r="F71" s="6" t="s">
        <v>252</v>
      </c>
      <c r="G71" s="6" cm="1" t="str">
        <f t="array" ref="G71">IF(F71="","",SUBSTITUTE(SUBSTITUTE(SUBSTITUTE(SUBSTITUTE(F71,"&lt;li&gt;",CHAR(10)),"&lt;/li&gt;",""),"&lt;br&gt;",CHAR(10)),"&lt;strong&gt;",""))</f>
        <v>&lt;p&gt;Appel tenté avec Olifan Groupe, pas de réponse, relance prévue. Aucun retour prospect sur fonds présentés. Prochaine action&amp;nbsp;: relance à prévoir avant le 01/07/2026. Pas d'autres échanges ou retours significatifs à ce jour. Suivi à maintenir, attente de feedback prospect.&lt;/p&gt;</v>
      </c>
      <c r="H71" s="6" cm="1" t="str">
        <f t="array" ref="H71">IF(G71="","",SUBSTITUTE(SUBSTITUTE(SUBSTITUTE(SUBSTITUTE(SUBSTITUTE(G71,"&lt;p&gt;",""),"&lt;/p&gt;",""),"&lt;ul&gt;",""),"&lt;/ul&gt;",""),"&lt;/strong&gt;",""))</f>
        <v>Appel tenté avec Olifan Groupe, pas de réponse, relance prévue. Aucun retour prospect sur fonds présentés. Prochaine action&amp;nbsp;: relance à prévoir avant le 01/07/2026. Pas d'autres échanges ou retours significatifs à ce jour. Suivi à maintenir, attente de feedback prospect.</v>
      </c>
      <c r="I71" s="12" cm="1" t="str">
        <f t="array" ref="I71">IF(C71="","",IF(OR(H71="",H71=0,H71=FALSE),"-",H71))</f>
        <v>Appel tenté avec Olifan Groupe, pas de réponse, relance prévue. Aucun retour prospect sur fonds présentés. Prochaine action&amp;nbsp;: relance à prévoir avant le 01/07/2026. Pas d'autres échanges ou retours significatifs à ce jour. Suivi à maintenir, attente de feedback prospect.</v>
      </c>
      <c r="J71" s="6" t="s">
        <v>123</v>
      </c>
      <c r="K71" s="6" t="s">
        <v>59</v>
      </c>
      <c r="L71" s="6" cm="1" t="str">
        <f t="array" ref="L71">IF(C71="","",IF(K71="Mort / Plus rien à faire","KO","OK"))</f>
        <v>OK</v>
      </c>
      <c r="M71" s="13">
        <v>46177.647256944445</v>
      </c>
      <c r="N71" s="13" cm="1" t="n">
        <f t="array" ref="N71">IF(OR(C71="",M71="",M71=0),"",M71)</f>
        <v>46177.647256944445</v>
      </c>
      <c r="O71" s="13">
        <v>46204.041666666664</v>
      </c>
      <c r="P71" s="13" cm="1" t="n">
        <f t="array" ref="P71">IF(C71="","",IF(OR(O71="",O71=0),"-",O71))</f>
        <v>46204.041666666664</v>
      </c>
      <c r="Q71" s="14">
        <v>0</v>
      </c>
      <c r="R71" s="6" cm="1" t="str">
        <f t="array" ref="R71">IF(C71="","",ROUND(Q71/1000000,3)&amp;" M€")</f>
        <v>0 M€</v>
      </c>
      <c r="S71" s="15">
        <v>10</v>
      </c>
      <c r="T71" s="6" cm="1" t="str">
        <f t="array" ref="T71">IF(C71="","",SUBSTITUTE(S71,"","")&amp;"%")</f>
        <v>10%</v>
      </c>
      <c r="U71" s="12" cm="1" t="str">
        <f t="array" ref="U71">IF(($N71="")*($P71=""),"",IF(($N71&lt;&gt;"")*($N71&gt;TODAY()-9)*($N71&lt;TODAY()+1)*($P71&lt;&gt;"")*($P71&gt;=TODAY())*($P71&lt;=TODAY()+13),"Semaine passée &amp; à venir",IF(($N71&lt;&gt;"")*($N71&gt;TODAY()-9)*($N71&lt;TODAY()+1),"Semaine passée",IF(($P71&lt;&gt;"")*($P71&gt;=TODAY())*($P71&lt;=TODAY()+13),"À venir","Autre"))))</f>
        <v>Semaine passée</v>
      </c>
      <c r="V71" s="5" cm="1" t="n">
        <f t="array" ref="V71">IF(C71&lt;&gt;"",1,0)</f>
        <v>1</v>
      </c>
      <c r="W71" s="5">
</c>
      <c r="X71" s="5">
</c>
      <c r="Y71" s="5">
</c>
      <c r="Z71" s="5">
</c>
      <c r="AA71" s="5">
</c>
      <c r="AB71" s="5">
</c>
      <c r="AC71" s="5">
</c>
      <c r="AD71" s="5">
</c>
      <c r="AE71" s="5">
</c>
      <c r="AF71" s="5">
</c>
      <c r="AG71" s="5">
</c>
      <c r="AH71" s="5">
</c>
      <c r="AI71" s="5">
</c>
      <c r="AJ71" s="5">
</c>
      <c r="AK71" s="5">
</c>
    </row>
    <row r="72" ht="65.25" customHeight="1">
      <c r="A72" s="6" t="s">
        <v>23</v>
      </c>
      <c r="B72" s="6" t="s">
        <v>24</v>
      </c>
      <c r="C72" s="11" t="s">
        <v>253</v>
      </c>
      <c r="D72" s="11" t="s">
        <v>254</v>
      </c>
      <c r="E72" s="6" t="s">
        <v>27</v>
      </c>
      <c r="F72" s="6" t="s">
        <v>255</v>
      </c>
      <c r="G72" s="6" cm="1" t="str">
        <f t="array" ref="G72">IF(F72="","",SUBSTITUTE(SUBSTITUTE(SUBSTITUTE(SUBSTITUTE(F72,"&lt;li&gt;",CHAR(10)),"&lt;/li&gt;",""),"&lt;br&gt;",CHAR(10)),"&lt;strong&gt;",""))</f>
        <v>&lt;p&gt;Nouvelle piste créée pour équipe Ventes. Aucun enrichissement possible, email non valide. Aucune activité ou échange significatif enregistré, pas d'action menée ni de retour prospect. Prochaines étapes non définies, aucun suivi ou interaction à ce jour.&lt;/p&gt;</v>
      </c>
      <c r="H72" s="6" cm="1" t="str">
        <f t="array" ref="H72">IF(G72="","",SUBSTITUTE(SUBSTITUTE(SUBSTITUTE(SUBSTITUTE(SUBSTITUTE(G72,"&lt;p&gt;",""),"&lt;/p&gt;",""),"&lt;ul&gt;",""),"&lt;/ul&gt;",""),"&lt;/strong&gt;",""))</f>
        <v>Nouvelle piste créée pour équipe Ventes. Aucun enrichissement possible, email non valide. Aucune activité ou échange significatif enregistré, pas d'action menée ni de retour prospect. Prochaines étapes non définies, aucun suivi ou interaction à ce jour.</v>
      </c>
      <c r="I72" s="12" cm="1" t="str">
        <f t="array" ref="I72">IF(C72="","",IF(OR(H72="",H72=0,H72=FALSE),"-",H72))</f>
        <v>Nouvelle piste créée pour équipe Ventes. Aucun enrichissement possible, email non valide. Aucune activité ou échange significatif enregistré, pas d'action menée ni de retour prospect. Prochaines étapes non définies, aucun suivi ou interaction à ce jour.</v>
      </c>
      <c r="J72" s="6" t="s">
        <v>256</v>
      </c>
      <c r="K72" s="6" t="s">
        <v>75</v>
      </c>
      <c r="L72" s="6" cm="1" t="str">
        <f t="array" ref="L72">IF(C72="","",IF(K72="Mort / Plus rien à faire","KO","OK"))</f>
        <v>OK</v>
      </c>
      <c r="M72" s="13">
        <v>46177.666608796295</v>
      </c>
      <c r="N72" s="13" cm="1" t="n">
        <f t="array" ref="N72">IF(OR(C72="",M72="",M72=0),"",M72)</f>
        <v>46177.666608796295</v>
      </c>
      <c r="O72" s="13">
        <v>46204.083333333336</v>
      </c>
      <c r="P72" s="13" cm="1" t="n">
        <f t="array" ref="P72">IF(C72="","",IF(OR(O72="",O72=0),"-",O72))</f>
        <v>46204.083333333336</v>
      </c>
      <c r="Q72" s="14">
        <v>0</v>
      </c>
      <c r="R72" s="6" cm="1" t="str">
        <f t="array" ref="R72">IF(C72="","",ROUND(Q72/1000000,3)&amp;" M€")</f>
        <v>0 M€</v>
      </c>
      <c r="S72" s="15">
        <v>10</v>
      </c>
      <c r="T72" s="6" cm="1" t="str">
        <f t="array" ref="T72">IF(C72="","",SUBSTITUTE(S72,"","")&amp;"%")</f>
        <v>10%</v>
      </c>
      <c r="U72" s="12" cm="1" t="str">
        <f t="array" ref="U72">IF(($N72="")*($P72=""),"",IF(($N72&lt;&gt;"")*($N72&gt;TODAY()-9)*($N72&lt;TODAY()+1)*($P72&lt;&gt;"")*($P72&gt;=TODAY())*($P72&lt;=TODAY()+13),"Semaine passée &amp; à venir",IF(($N72&lt;&gt;"")*($N72&gt;TODAY()-9)*($N72&lt;TODAY()+1),"Semaine passée",IF(($P72&lt;&gt;"")*($P72&gt;=TODAY())*($P72&lt;=TODAY()+13),"À venir","Autre"))))</f>
        <v>Semaine passée</v>
      </c>
      <c r="V72" s="5" cm="1" t="n">
        <f t="array" ref="V72">IF(C72&lt;&gt;"",1,0)</f>
        <v>1</v>
      </c>
      <c r="W72" s="5">
</c>
      <c r="X72" s="5">
</c>
      <c r="Y72" s="5">
</c>
      <c r="Z72" s="5">
</c>
      <c r="AA72" s="5">
</c>
      <c r="AB72" s="5">
</c>
      <c r="AC72" s="5">
</c>
      <c r="AD72" s="5">
</c>
      <c r="AE72" s="5">
</c>
      <c r="AF72" s="5">
</c>
      <c r="AG72" s="5">
</c>
      <c r="AH72" s="5">
</c>
      <c r="AI72" s="5">
</c>
      <c r="AJ72" s="5">
</c>
      <c r="AK72" s="5">
</c>
    </row>
    <row r="73" ht="65.25" customHeight="1">
      <c r="A73" s="6" t="s">
        <v>23</v>
      </c>
      <c r="B73" s="6" t="s">
        <v>24</v>
      </c>
      <c r="C73" s="11" t="s">
        <v>257</v>
      </c>
      <c r="D73" s="11" t="s">
        <v>258</v>
      </c>
      <c r="E73" s="6" t="s">
        <v>57</v>
      </c>
      <c r="F73" s="6" t="s">
        <v>259</v>
      </c>
      <c r="G73" s="6" cm="1" t="str">
        <f t="array" ref="G73">IF(F73="","",SUBSTITUTE(SUBSTITUTE(SUBSTITUTE(SUBSTITUTE(F73,"&lt;li&gt;",CHAR(10)),"&lt;/li&gt;",""),"&lt;br&gt;",CHAR(10)),"&lt;strong&gt;",""))</f>
        <v>&lt;p&gt;Nouvelle piste créée pour équipe Ventes. Aucun échange significatif depuis, prospect en congé maternité, relance prévue début 2027. Pas d'autres actions ou retours du prospect à ce jour. Suivi à reprendre à la date indiquée, aucune activité commerciale active actuellement.&lt;/p&gt;</v>
      </c>
      <c r="H73" s="6" cm="1" t="str">
        <f t="array" ref="H73">IF(G73="","",SUBSTITUTE(SUBSTITUTE(SUBSTITUTE(SUBSTITUTE(SUBSTITUTE(G73,"&lt;p&gt;",""),"&lt;/p&gt;",""),"&lt;ul&gt;",""),"&lt;/ul&gt;",""),"&lt;/strong&gt;",""))</f>
        <v>Nouvelle piste créée pour équipe Ventes. Aucun échange significatif depuis, prospect en congé maternité, relance prévue début 2027. Pas d'autres actions ou retours du prospect à ce jour. Suivi à reprendre à la date indiquée, aucune activité commerciale active actuellement.</v>
      </c>
      <c r="I73" s="12" cm="1" t="str">
        <f t="array" ref="I73">IF(C73="","",IF(OR(H73="",H73=0,H73=FALSE),"-",H73))</f>
        <v>Nouvelle piste créée pour équipe Ventes. Aucun échange significatif depuis, prospect en congé maternité, relance prévue début 2027. Pas d'autres actions ou retours du prospect à ce jour. Suivi à reprendre à la date indiquée, aucune activité commerciale active actuellement.</v>
      </c>
      <c r="J73" s="6">
</c>
      <c r="K73" s="6" t="s">
        <v>192</v>
      </c>
      <c r="L73" s="6" cm="1" t="str">
        <f t="array" ref="L73">IF(C73="","",IF(K73="Mort / Plus rien à faire","KO","OK"))</f>
        <v>OK</v>
      </c>
      <c r="M73" s="13">
        <v>46146.436203703706</v>
      </c>
      <c r="N73" s="13" cm="1" t="n">
        <f t="array" ref="N73">IF(OR(C73="",M73="",M73=0),"",M73)</f>
        <v>46146.436203703706</v>
      </c>
      <c r="O73" s="13">
</c>
      <c r="P73" s="13" cm="1" t="str">
        <f t="array" ref="P73">IF(C73="","",IF(OR(O73="",O73=0),"-",O73))</f>
        <v>-</v>
      </c>
      <c r="Q73" s="14">
        <v>0</v>
      </c>
      <c r="R73" s="6" cm="1" t="str">
        <f t="array" ref="R73">IF(C73="","",ROUND(Q73/1000000,3)&amp;" M€")</f>
        <v>0 M€</v>
      </c>
      <c r="S73" s="15">
        <v>10</v>
      </c>
      <c r="T73" s="6" cm="1" t="str">
        <f t="array" ref="T73">IF(C73="","",SUBSTITUTE(S73,"","")&amp;"%")</f>
        <v>10%</v>
      </c>
      <c r="U73" s="12" cm="1" t="str">
        <f t="array" ref="U73">IF(($N73="")*($P73=""),"",IF(($N73&lt;&gt;"")*($N73&gt;TODAY()-9)*($N73&lt;TODAY()+1)*($P73&lt;&gt;"")*($P73&gt;=TODAY())*($P73&lt;=TODAY()+13),"Semaine passée &amp; à venir",IF(($N73&lt;&gt;"")*($N73&gt;TODAY()-9)*($N73&lt;TODAY()+1),"Semaine passée",IF(($P73&lt;&gt;"")*($P73&gt;=TODAY())*($P73&lt;=TODAY()+13),"À venir","Autre"))))</f>
        <v>Autre</v>
      </c>
      <c r="V73" s="5" cm="1" t="n">
        <f t="array" ref="V73">IF(C73&lt;&gt;"",1,0)</f>
        <v>1</v>
      </c>
      <c r="W73" s="5">
</c>
      <c r="X73" s="5">
</c>
      <c r="Y73" s="5">
</c>
      <c r="Z73" s="5">
</c>
      <c r="AA73" s="5">
</c>
      <c r="AB73" s="5">
</c>
      <c r="AC73" s="5">
</c>
      <c r="AD73" s="5">
</c>
      <c r="AE73" s="5">
</c>
      <c r="AF73" s="5">
</c>
      <c r="AG73" s="5">
</c>
      <c r="AH73" s="5">
</c>
      <c r="AI73" s="5">
</c>
      <c r="AJ73" s="5">
</c>
      <c r="AK73" s="5">
</c>
    </row>
    <row r="74" ht="65.25" customHeight="1">
      <c r="A74" s="6" t="s">
        <v>23</v>
      </c>
      <c r="B74" s="6" t="s">
        <v>157</v>
      </c>
      <c r="C74" s="11" t="s">
        <v>182</v>
      </c>
      <c r="D74" s="11" t="s">
        <v>260</v>
      </c>
      <c r="E74" s="6" t="s">
        <v>53</v>
      </c>
      <c r="F74" s="6" t="s">
        <v>261</v>
      </c>
      <c r="G74" s="6" cm="1" t="str">
        <f t="array" ref="G74">IF(F74="","",SUBSTITUTE(SUBSTITUTE(SUBSTITUTE(SUBSTITUTE(F74,"&lt;li&gt;",CHAR(10)),"&lt;/li&gt;",""),"&lt;br&gt;",CHAR(10)),"&lt;strong&gt;",""))</f>
        <v>&lt;p&gt;Multiples RDV physiques avec Linxea, passage en précomité (plutôt KO, faible collecte PE, pas de nouveaux référencements prévus pour 2026). Changement d'interlocuteur PE (Pierre Guerin remplace Florian Demars). Suivi à maintenir, relance possible auprès de Pierre. Prochaine étape&amp;nbsp;: tenir informé, deadline 01/10/2026.&lt;/p&gt;</v>
      </c>
      <c r="H74" s="6" cm="1" t="str">
        <f t="array" ref="H74">IF(G74="","",SUBSTITUTE(SUBSTITUTE(SUBSTITUTE(SUBSTITUTE(SUBSTITUTE(G74,"&lt;p&gt;",""),"&lt;/p&gt;",""),"&lt;ul&gt;",""),"&lt;/ul&gt;",""),"&lt;/strong&gt;",""))</f>
        <v>Multiples RDV physiques avec Linxea, passage en précomité (plutôt KO, faible collecte PE, pas de nouveaux référencements prévus pour 2026). Changement d'interlocuteur PE (Pierre Guerin remplace Florian Demars). Suivi à maintenir, relance possible auprès de Pierre. Prochaine étape&amp;nbsp;: tenir informé, deadline 01/10/2026.</v>
      </c>
      <c r="I74" s="12" cm="1" t="str">
        <f t="array" ref="I74">IF(C74="","",IF(OR(H74="",H74=0,H74=FALSE),"-",H74))</f>
        <v>Multiples RDV physiques avec Linxea, passage en précomité (plutôt KO, faible collecte PE, pas de nouveaux référencements prévus pour 2026). Changement d'interlocuteur PE (Pierre Guerin remplace Florian Demars). Suivi à maintenir, relance possible auprès de Pierre. Prochaine étape&amp;nbsp;: tenir informé, deadline 01/10/2026.</v>
      </c>
      <c r="J74" s="6" t="s">
        <v>262</v>
      </c>
      <c r="K74" s="6" t="s">
        <v>75</v>
      </c>
      <c r="L74" s="6" cm="1" t="str">
        <f t="array" ref="L74">IF(C74="","",IF(K74="Mort / Plus rien à faire","KO","OK"))</f>
        <v>OK</v>
      </c>
      <c r="M74" s="13">
        <v>46135.75040509259</v>
      </c>
      <c r="N74" s="13" cm="1" t="n">
        <f t="array" ref="N74">IF(OR(C74="",M74="",M74=0),"",M74)</f>
        <v>46135.75040509259</v>
      </c>
      <c r="O74" s="13">
        <v>46296.083333333336</v>
      </c>
      <c r="P74" s="13" cm="1" t="n">
        <f t="array" ref="P74">IF(C74="","",IF(OR(O74="",O74=0),"-",O74))</f>
        <v>46296.083333333336</v>
      </c>
      <c r="Q74" s="14">
        <v>0</v>
      </c>
      <c r="R74" s="6" cm="1" t="str">
        <f t="array" ref="R74">IF(C74="","",ROUND(Q74/1000000,3)&amp;" M€")</f>
        <v>0 M€</v>
      </c>
      <c r="S74" s="15">
        <v>10</v>
      </c>
      <c r="T74" s="6" cm="1" t="str">
        <f t="array" ref="T74">IF(C74="","",SUBSTITUTE(S74,"","")&amp;"%")</f>
        <v>10%</v>
      </c>
      <c r="U74" s="12" cm="1" t="str">
        <f t="array" ref="U74">IF(($N74="")*($P74=""),"",IF(($N74&lt;&gt;"")*($N74&gt;TODAY()-9)*($N74&lt;TODAY()+1)*($P74&lt;&gt;"")*($P74&gt;=TODAY())*($P74&lt;=TODAY()+13),"Semaine passée &amp; à venir",IF(($N74&lt;&gt;"")*($N74&gt;TODAY()-9)*($N74&lt;TODAY()+1),"Semaine passée",IF(($P74&lt;&gt;"")*($P74&gt;=TODAY())*($P74&lt;=TODAY()+13),"À venir","Autre"))))</f>
        <v>Autre</v>
      </c>
      <c r="V74" s="5" cm="1" t="n">
        <f t="array" ref="V74">IF(C74&lt;&gt;"",1,0)</f>
        <v>1</v>
      </c>
      <c r="W74" s="5">
</c>
      <c r="X74" s="5">
</c>
      <c r="Y74" s="5">
</c>
      <c r="Z74" s="5">
</c>
      <c r="AA74" s="5">
</c>
      <c r="AB74" s="5">
</c>
      <c r="AC74" s="5">
</c>
      <c r="AD74" s="5">
</c>
      <c r="AE74" s="5">
</c>
      <c r="AF74" s="5">
</c>
      <c r="AG74" s="5">
</c>
      <c r="AH74" s="5">
</c>
      <c r="AI74" s="5">
</c>
      <c r="AJ74" s="5">
</c>
      <c r="AK74" s="5">
</c>
    </row>
    <row r="75" ht="65.25" customHeight="1">
      <c r="A75" s="6" t="s">
        <v>23</v>
      </c>
      <c r="B75" s="6" t="s">
        <v>202</v>
      </c>
      <c r="C75" s="11" t="s">
        <v>263</v>
      </c>
      <c r="D75" s="11" t="s">
        <v>264</v>
      </c>
      <c r="E75" s="6" t="s">
        <v>53</v>
      </c>
      <c r="F75" s="6" t="s">
        <v>265</v>
      </c>
      <c r="G75" s="6" cm="1" t="str">
        <f t="array" ref="G75">IF(F75="","",SUBSTITUTE(SUBSTITUTE(SUBSTITUTE(SUBSTITUTE(F75,"&lt;li&gt;",CHAR(10)),"&lt;/li&gt;",""),"&lt;br&gt;",CHAR(10)),"&lt;strong&gt;",""))</f>
        <v>&lt;p&gt;Contact initial NextGen, échange positif Romain/Pierre. Présentation offre retail AUDACIA (FCPI, co-investissement start-up tech, newspace, décarbonation, santé/biotech, fiscalité IR 27%). Offre club deal immobilier senior (Lyon, Le Vésinet). Prochaine étape&amp;nbsp;: fixer rdv pour approfondir. Pas d'autres actions.&lt;/p&gt;</v>
      </c>
      <c r="H75" s="6" cm="1" t="str">
        <f t="array" ref="H75">IF(G75="","",SUBSTITUTE(SUBSTITUTE(SUBSTITUTE(SUBSTITUTE(SUBSTITUTE(G75,"&lt;p&gt;",""),"&lt;/p&gt;",""),"&lt;ul&gt;",""),"&lt;/ul&gt;",""),"&lt;/strong&gt;",""))</f>
        <v>Contact initial NextGen, échange positif Romain/Pierre. Présentation offre retail AUDACIA (FCPI, co-investissement start-up tech, newspace, décarbonation, santé/biotech, fiscalité IR 27%). Offre club deal immobilier senior (Lyon, Le Vésinet). Prochaine étape&amp;nbsp;: fixer rdv pour approfondir. Pas d'autres actions.</v>
      </c>
      <c r="I75" s="12" cm="1" t="str">
        <f t="array" ref="I75">IF(C75="","",IF(OR(H75="",H75=0,H75=FALSE),"-",H75))</f>
        <v>Contact initial NextGen, échange positif Romain/Pierre. Présentation offre retail AUDACIA (FCPI, co-investissement start-up tech, newspace, décarbonation, santé/biotech, fiscalité IR 27%). Offre club deal immobilier senior (Lyon, Le Vésinet). Prochaine étape&amp;nbsp;: fixer rdv pour approfondir. Pas d'autres actions.</v>
      </c>
      <c r="J75" s="6">
</c>
      <c r="K75" s="6" t="s">
        <v>75</v>
      </c>
      <c r="L75" s="6" cm="1" t="str">
        <f t="array" ref="L75">IF(C75="","",IF(K75="Mort / Plus rien à faire","KO","OK"))</f>
        <v>OK</v>
      </c>
      <c r="M75" s="13">
        <v>46129.46673611111</v>
      </c>
      <c r="N75" s="13" cm="1" t="n">
        <f t="array" ref="N75">IF(OR(C75="",M75="",M75=0),"",M75)</f>
        <v>46129.46673611111</v>
      </c>
      <c r="O75" s="13">
</c>
      <c r="P75" s="13" cm="1" t="str">
        <f t="array" ref="P75">IF(C75="","",IF(OR(O75="",O75=0),"-",O75))</f>
        <v>-</v>
      </c>
      <c r="Q75" s="14">
        <v>0</v>
      </c>
      <c r="R75" s="6" cm="1" t="str">
        <f t="array" ref="R75">IF(C75="","",ROUND(Q75/1000000,3)&amp;" M€")</f>
        <v>0 M€</v>
      </c>
      <c r="S75" s="15">
        <v>10</v>
      </c>
      <c r="T75" s="6" cm="1" t="str">
        <f t="array" ref="T75">IF(C75="","",SUBSTITUTE(S75,"","")&amp;"%")</f>
        <v>10%</v>
      </c>
      <c r="U75" s="12" cm="1" t="str">
        <f t="array" ref="U75">IF(($N75="")*($P75=""),"",IF(($N75&lt;&gt;"")*($N75&gt;TODAY()-9)*($N75&lt;TODAY()+1)*($P75&lt;&gt;"")*($P75&gt;=TODAY())*($P75&lt;=TODAY()+13),"Semaine passée &amp; à venir",IF(($N75&lt;&gt;"")*($N75&gt;TODAY()-9)*($N75&lt;TODAY()+1),"Semaine passée",IF(($P75&lt;&gt;"")*($P75&gt;=TODAY())*($P75&lt;=TODAY()+13),"À venir","Autre"))))</f>
        <v>Autre</v>
      </c>
      <c r="V75" s="5" cm="1" t="n">
        <f t="array" ref="V75">IF(C75&lt;&gt;"",1,0)</f>
        <v>1</v>
      </c>
      <c r="W75" s="5">
</c>
      <c r="X75" s="5">
</c>
      <c r="Y75" s="5">
</c>
      <c r="Z75" s="5">
</c>
      <c r="AA75" s="5">
</c>
      <c r="AB75" s="5">
</c>
      <c r="AC75" s="5">
</c>
      <c r="AD75" s="5">
</c>
      <c r="AE75" s="5">
</c>
      <c r="AF75" s="5">
</c>
      <c r="AG75" s="5">
</c>
      <c r="AH75" s="5">
</c>
      <c r="AI75" s="5">
</c>
      <c r="AJ75" s="5">
</c>
      <c r="AK75" s="5">
</c>
    </row>
    <row r="76" ht="65.25" customHeight="1">
      <c r="A76" s="6" t="s">
        <v>23</v>
      </c>
      <c r="B76" s="6">
</c>
      <c r="C76" s="11" t="s">
        <v>266</v>
      </c>
      <c r="D76" s="11" t="s">
        <v>267</v>
      </c>
      <c r="E76" s="6" t="s">
        <v>57</v>
      </c>
      <c r="F76" s="6" t="s">
        <v>268</v>
      </c>
      <c r="G76" s="6" cm="1" t="str">
        <f t="array" ref="G76">IF(F76="","",SUBSTITUTE(SUBSTITUTE(SUBSTITUTE(SUBSTITUTE(F76,"&lt;li&gt;",CHAR(10)),"&lt;/li&gt;",""),"&lt;br&gt;",CHAR(10)),"&lt;strong&gt;",""))</f>
        <v>&lt;p&gt;Nouvelle piste créée pour équipe Ventes. Tentative d'enrichissement impossible (email invalide). Déjà pitché (pas cette personne), à recontacter par LG. Pas d'autres actions ou retours prospect. Prochaines étapes : prise de contact à planifier par LG.&lt;/p&gt;</v>
      </c>
      <c r="H76" s="6" cm="1" t="str">
        <f t="array" ref="H76">IF(G76="","",SUBSTITUTE(SUBSTITUTE(SUBSTITUTE(SUBSTITUTE(SUBSTITUTE(G76,"&lt;p&gt;",""),"&lt;/p&gt;",""),"&lt;ul&gt;",""),"&lt;/ul&gt;",""),"&lt;/strong&gt;",""))</f>
        <v>Nouvelle piste créée pour équipe Ventes. Tentative d'enrichissement impossible (email invalide). Déjà pitché (pas cette personne), à recontacter par LG. Pas d'autres actions ou retours prospect. Prochaines étapes : prise de contact à planifier par LG.</v>
      </c>
      <c r="I76" s="12" cm="1" t="str">
        <f t="array" ref="I76">IF(C76="","",IF(OR(H76="",H76=0,H76=FALSE),"-",H76))</f>
        <v>Nouvelle piste créée pour équipe Ventes. Tentative d'enrichissement impossible (email invalide). Déjà pitché (pas cette personne), à recontacter par LG. Pas d'autres actions ou retours prospect. Prochaines étapes : prise de contact à planifier par LG.</v>
      </c>
      <c r="J76" s="6">
</c>
      <c r="K76" s="6" t="s">
        <v>75</v>
      </c>
      <c r="L76" s="6" cm="1" t="str">
        <f t="array" ref="L76">IF(C76="","",IF(K76="Mort / Plus rien à faire","KO","OK"))</f>
        <v>OK</v>
      </c>
      <c r="M76" s="13">
        <v>46139.63353009259</v>
      </c>
      <c r="N76" s="13" cm="1" t="n">
        <f t="array" ref="N76">IF(OR(C76="",M76="",M76=0),"",M76)</f>
        <v>46139.63353009259</v>
      </c>
      <c r="O76" s="13">
</c>
      <c r="P76" s="13" cm="1" t="str">
        <f t="array" ref="P76">IF(C76="","",IF(OR(O76="",O76=0),"-",O76))</f>
        <v>-</v>
      </c>
      <c r="Q76" s="14">
        <v>0</v>
      </c>
      <c r="R76" s="6" cm="1" t="str">
        <f t="array" ref="R76">IF(C76="","",ROUND(Q76/1000000,3)&amp;" M€")</f>
        <v>0 M€</v>
      </c>
      <c r="S76" s="15">
        <v>10</v>
      </c>
      <c r="T76" s="6" cm="1" t="str">
        <f t="array" ref="T76">IF(C76="","",SUBSTITUTE(S76,"","")&amp;"%")</f>
        <v>10%</v>
      </c>
      <c r="U76" s="12" cm="1" t="str">
        <f t="array" ref="U76">IF(($N76="")*($P76=""),"",IF(($N76&lt;&gt;"")*($N76&gt;TODAY()-9)*($N76&lt;TODAY()+1)*($P76&lt;&gt;"")*($P76&gt;=TODAY())*($P76&lt;=TODAY()+13),"Semaine passée &amp; à venir",IF(($N76&lt;&gt;"")*($N76&gt;TODAY()-9)*($N76&lt;TODAY()+1),"Semaine passée",IF(($P76&lt;&gt;"")*($P76&gt;=TODAY())*($P76&lt;=TODAY()+13),"À venir","Autre"))))</f>
        <v>Autre</v>
      </c>
      <c r="V76" s="5" cm="1" t="n">
        <f t="array" ref="V76">IF(C76&lt;&gt;"",1,0)</f>
        <v>1</v>
      </c>
      <c r="W76" s="5">
</c>
      <c r="X76" s="5">
</c>
      <c r="Y76" s="5">
</c>
      <c r="Z76" s="5">
</c>
      <c r="AA76" s="5">
</c>
      <c r="AB76" s="5">
</c>
      <c r="AC76" s="5">
</c>
      <c r="AD76" s="5">
</c>
      <c r="AE76" s="5">
</c>
      <c r="AF76" s="5">
</c>
      <c r="AG76" s="5">
</c>
      <c r="AH76" s="5">
</c>
      <c r="AI76" s="5">
</c>
      <c r="AJ76" s="5">
</c>
      <c r="AK76" s="5">
</c>
    </row>
    <row r="77" ht="65.25" customHeight="1">
      <c r="A77" s="6" t="s">
        <v>23</v>
      </c>
      <c r="B77" s="6" t="s">
        <v>76</v>
      </c>
      <c r="C77" s="11" t="s">
        <v>269</v>
      </c>
      <c r="D77" s="11" t="s">
        <v>270</v>
      </c>
      <c r="E77" s="6" t="s">
        <v>38</v>
      </c>
      <c r="F77" s="6" t="s">
        <v>271</v>
      </c>
      <c r="G77" s="6" cm="1" t="str">
        <f t="array" ref="G77">IF(F77="","",SUBSTITUTE(SUBSTITUTE(SUBSTITUTE(SUBSTITUTE(F77,"&lt;li&gt;",CHAR(10)),"&lt;/li&gt;",""),"&lt;br&gt;",CHAR(10)),"&lt;strong&gt;",""))</f>
        <v>&lt;p&gt;Relance mail envoyée le 13/03 pour prise de RDV présentation Audacia et gérant FCPI. Nouvelle piste créée pour équipe Ventes. Pas d'autres échanges, appels ou retours mentionnés. Prochaine étape : attendre retour pour fixer RDV. Aucun retour prospect sur fonds à ce stade.&lt;/p&gt;</v>
      </c>
      <c r="H77" s="6" cm="1" t="str">
        <f t="array" ref="H77">IF(G77="","",SUBSTITUTE(SUBSTITUTE(SUBSTITUTE(SUBSTITUTE(SUBSTITUTE(G77,"&lt;p&gt;",""),"&lt;/p&gt;",""),"&lt;ul&gt;",""),"&lt;/ul&gt;",""),"&lt;/strong&gt;",""))</f>
        <v>Relance mail envoyée le 13/03 pour prise de RDV présentation Audacia et gérant FCPI. Nouvelle piste créée pour équipe Ventes. Pas d'autres échanges, appels ou retours mentionnés. Prochaine étape : attendre retour pour fixer RDV. Aucun retour prospect sur fonds à ce stade.</v>
      </c>
      <c r="I77" s="12" cm="1" t="str">
        <f t="array" ref="I77">IF(C77="","",IF(OR(H77="",H77=0,H77=FALSE),"-",H77))</f>
        <v>Relance mail envoyée le 13/03 pour prise de RDV présentation Audacia et gérant FCPI. Nouvelle piste créée pour équipe Ventes. Pas d'autres échanges, appels ou retours mentionnés. Prochaine étape : attendre retour pour fixer RDV. Aucun retour prospect sur fonds à ce stade.</v>
      </c>
      <c r="J77" s="6">
</c>
      <c r="K77" s="6" t="s">
        <v>59</v>
      </c>
      <c r="L77" s="6" cm="1" t="str">
        <f t="array" ref="L77">IF(C77="","",IF(K77="Mort / Plus rien à faire","KO","OK"))</f>
        <v>OK</v>
      </c>
      <c r="M77" s="13">
        <v>46094.76453703704</v>
      </c>
      <c r="N77" s="13" cm="1" t="n">
        <f t="array" ref="N77">IF(OR(C77="",M77="",M77=0),"",M77)</f>
        <v>46094.76453703704</v>
      </c>
      <c r="O77" s="13">
</c>
      <c r="P77" s="13" cm="1" t="str">
        <f t="array" ref="P77">IF(C77="","",IF(OR(O77="",O77=0),"-",O77))</f>
        <v>-</v>
      </c>
      <c r="Q77" s="14">
        <v>0</v>
      </c>
      <c r="R77" s="6" cm="1" t="str">
        <f t="array" ref="R77">IF(C77="","",ROUND(Q77/1000000,3)&amp;" M€")</f>
        <v>0 M€</v>
      </c>
      <c r="S77" s="15">
        <v>10</v>
      </c>
      <c r="T77" s="6" cm="1" t="str">
        <f t="array" ref="T77">IF(C77="","",SUBSTITUTE(S77,"","")&amp;"%")</f>
        <v>10%</v>
      </c>
      <c r="U77" s="12" cm="1" t="str">
        <f t="array" ref="U77">IF(($N77="")*($P77=""),"",IF(($N77&lt;&gt;"")*($N77&gt;TODAY()-9)*($N77&lt;TODAY()+1)*($P77&lt;&gt;"")*($P77&gt;=TODAY())*($P77&lt;=TODAY()+13),"Semaine passée &amp; à venir",IF(($N77&lt;&gt;"")*($N77&gt;TODAY()-9)*($N77&lt;TODAY()+1),"Semaine passée",IF(($P77&lt;&gt;"")*($P77&gt;=TODAY())*($P77&lt;=TODAY()+13),"À venir","Autre"))))</f>
        <v>Autre</v>
      </c>
      <c r="V77" s="5" cm="1" t="n">
        <f t="array" ref="V77">IF(C77&lt;&gt;"",1,0)</f>
        <v>1</v>
      </c>
      <c r="W77" s="5">
</c>
      <c r="X77" s="5">
</c>
      <c r="Y77" s="5">
</c>
      <c r="Z77" s="5">
</c>
      <c r="AA77" s="5">
</c>
      <c r="AB77" s="5">
</c>
      <c r="AC77" s="5">
</c>
      <c r="AD77" s="5">
</c>
      <c r="AE77" s="5">
</c>
      <c r="AF77" s="5">
</c>
      <c r="AG77" s="5">
</c>
      <c r="AH77" s="5">
</c>
      <c r="AI77" s="5">
</c>
      <c r="AJ77" s="5">
</c>
      <c r="AK77" s="5">
</c>
    </row>
    <row r="78" ht="65.25" customHeight="1">
      <c r="A78" s="6" t="s">
        <v>23</v>
      </c>
      <c r="B78" s="6" t="s">
        <v>24</v>
      </c>
      <c r="C78" s="11" t="s">
        <v>272</v>
      </c>
      <c r="D78" s="11" t="s">
        <v>273</v>
      </c>
      <c r="E78" s="6" t="s">
        <v>38</v>
      </c>
      <c r="F78" s="6" t="s">
        <v>274</v>
      </c>
      <c r="G78" s="6" cm="1" t="str">
        <f t="array" ref="G78">IF(F78="","",SUBSTITUTE(SUBSTITUTE(SUBSTITUTE(SUBSTITUTE(F78,"&lt;li&gt;",CHAR(10)),"&lt;/li&gt;",""),"&lt;br&gt;",CHAR(10)),"&lt;strong&gt;",""))</f>
        <v>&lt;p&gt;Appel 12/03 avec Corinne Vigouroux pour présenter offre FCPi avec Gérant, mail envoyé pour proposer dates en avril, aucune réponse reçue à ce jour. Relance à prévoir, prochaine action fixée au 01/07. Pas de retour prospect sur l'offre, attente feedback. Aucun autre échange significatif noté.&lt;/p&gt;</v>
      </c>
      <c r="H78" s="6" cm="1" t="str">
        <f t="array" ref="H78">IF(G78="","",SUBSTITUTE(SUBSTITUTE(SUBSTITUTE(SUBSTITUTE(SUBSTITUTE(G78,"&lt;p&gt;",""),"&lt;/p&gt;",""),"&lt;ul&gt;",""),"&lt;/ul&gt;",""),"&lt;/strong&gt;",""))</f>
        <v>Appel 12/03 avec Corinne Vigouroux pour présenter offre FCPi avec Gérant, mail envoyé pour proposer dates en avril, aucune réponse reçue à ce jour. Relance à prévoir, prochaine action fixée au 01/07. Pas de retour prospect sur l'offre, attente feedback. Aucun autre échange significatif noté.</v>
      </c>
      <c r="I78" s="12" cm="1" t="str">
        <f t="array" ref="I78">IF(C78="","",IF(OR(H78="",H78=0,H78=FALSE),"-",H78))</f>
        <v>Appel 12/03 avec Corinne Vigouroux pour présenter offre FCPi avec Gérant, mail envoyé pour proposer dates en avril, aucune réponse reçue à ce jour. Relance à prévoir, prochaine action fixée au 01/07. Pas de retour prospect sur l'offre, attente feedback. Aucun autre échange significatif noté.</v>
      </c>
      <c r="J78" s="6" t="s">
        <v>275</v>
      </c>
      <c r="K78" s="6" t="s">
        <v>59</v>
      </c>
      <c r="L78" s="6" cm="1" t="str">
        <f t="array" ref="L78">IF(C78="","",IF(K78="Mort / Plus rien à faire","KO","OK"))</f>
        <v>OK</v>
      </c>
      <c r="M78" s="13">
        <v>46177.74508101852</v>
      </c>
      <c r="N78" s="13" cm="1" t="n">
        <f t="array" ref="N78">IF(OR(C78="",M78="",M78=0),"",M78)</f>
        <v>46177.74508101852</v>
      </c>
      <c r="O78" s="13">
        <v>46204.708333333336</v>
      </c>
      <c r="P78" s="13" cm="1" t="n">
        <f t="array" ref="P78">IF(C78="","",IF(OR(O78="",O78=0),"-",O78))</f>
        <v>46204.708333333336</v>
      </c>
      <c r="Q78" s="14">
        <v>0</v>
      </c>
      <c r="R78" s="6" cm="1" t="str">
        <f t="array" ref="R78">IF(C78="","",ROUND(Q78/1000000,3)&amp;" M€")</f>
        <v>0 M€</v>
      </c>
      <c r="S78" s="15">
        <v>10</v>
      </c>
      <c r="T78" s="6" cm="1" t="str">
        <f t="array" ref="T78">IF(C78="","",SUBSTITUTE(S78,"","")&amp;"%")</f>
        <v>10%</v>
      </c>
      <c r="U78" s="12" cm="1" t="str">
        <f t="array" ref="U78">IF(($N78="")*($P78=""),"",IF(($N78&lt;&gt;"")*($N78&gt;TODAY()-9)*($N78&lt;TODAY()+1)*($P78&lt;&gt;"")*($P78&gt;=TODAY())*($P78&lt;=TODAY()+13),"Semaine passée &amp; à venir",IF(($N78&lt;&gt;"")*($N78&gt;TODAY()-9)*($N78&lt;TODAY()+1),"Semaine passée",IF(($P78&lt;&gt;"")*($P78&gt;=TODAY())*($P78&lt;=TODAY()+13),"À venir","Autre"))))</f>
        <v>Semaine passée</v>
      </c>
      <c r="V78" s="5" cm="1" t="n">
        <f t="array" ref="V78">IF(C78&lt;&gt;"",1,0)</f>
        <v>1</v>
      </c>
      <c r="W78" s="5">
</c>
      <c r="X78" s="5">
</c>
      <c r="Y78" s="5">
</c>
      <c r="Z78" s="5">
</c>
      <c r="AA78" s="5">
</c>
      <c r="AB78" s="5">
</c>
      <c r="AC78" s="5">
</c>
      <c r="AD78" s="5">
</c>
      <c r="AE78" s="5">
</c>
      <c r="AF78" s="5">
</c>
      <c r="AG78" s="5">
</c>
      <c r="AH78" s="5">
</c>
      <c r="AI78" s="5">
</c>
      <c r="AJ78" s="5">
</c>
      <c r="AK78" s="5">
</c>
    </row>
    <row r="79" ht="65.25" customHeight="1">
      <c r="A79" s="6" t="s">
        <v>23</v>
      </c>
      <c r="B79" s="6" t="s">
        <v>24</v>
      </c>
      <c r="C79" s="11" t="s">
        <v>276</v>
      </c>
      <c r="D79" s="11" t="s">
        <v>277</v>
      </c>
      <c r="E79" s="6" t="s">
        <v>27</v>
      </c>
      <c r="F79" s="6" t="s">
        <v>278</v>
      </c>
      <c r="G79" s="6" cm="1" t="str">
        <f t="array" ref="G79">IF(F79="","",SUBSTITUTE(SUBSTITUTE(SUBSTITUTE(SUBSTITUTE(F79,"&lt;li&gt;",CHAR(10)),"&lt;/li&gt;",""),"&lt;br&gt;",CHAR(10)),"&lt;strong&gt;",""))</f>
        <v>&lt;p&gt;Contact LinkedIn avec Directeur Commercial Selexium 28/05, suivi d'un mail avec lien vidéo FCPI envoyé le même jour. Offre FCPI présentée pour clients Selexium, groupe CGP 115 collaborateurs. Pas de retour prospect encore, prochaine étape : attendre feedback sur la vidéo envoyée.&lt;/p&gt;</v>
      </c>
      <c r="H79" s="6" cm="1" t="str">
        <f t="array" ref="H79">IF(G79="","",SUBSTITUTE(SUBSTITUTE(SUBSTITUTE(SUBSTITUTE(SUBSTITUTE(G79,"&lt;p&gt;",""),"&lt;/p&gt;",""),"&lt;ul&gt;",""),"&lt;/ul&gt;",""),"&lt;/strong&gt;",""))</f>
        <v>Contact LinkedIn avec Directeur Commercial Selexium 28/05, suivi d'un mail avec lien vidéo FCPI envoyé le même jour. Offre FCPI présentée pour clients Selexium, groupe CGP 115 collaborateurs. Pas de retour prospect encore, prochaine étape : attendre feedback sur la vidéo envoyée.</v>
      </c>
      <c r="I79" s="12" cm="1" t="str">
        <f t="array" ref="I79">IF(C79="","",IF(OR(H79="",H79=0,H79=FALSE),"-",H79))</f>
        <v>Contact LinkedIn avec Directeur Commercial Selexium 28/05, suivi d'un mail avec lien vidéo FCPI envoyé le même jour. Offre FCPI présentée pour clients Selexium, groupe CGP 115 collaborateurs. Pas de retour prospect encore, prochaine étape : attendre feedback sur la vidéo envoyée.</v>
      </c>
      <c r="J79" s="6" t="s">
        <v>279</v>
      </c>
      <c r="K79" s="6" t="s">
        <v>75</v>
      </c>
      <c r="L79" s="6" cm="1" t="str">
        <f t="array" ref="L79">IF(C79="","",IF(K79="Mort / Plus rien à faire","KO","OK"))</f>
        <v>OK</v>
      </c>
      <c r="M79" s="13">
        <v>46170.47645833333</v>
      </c>
      <c r="N79" s="13" cm="1" t="n">
        <f t="array" ref="N79">IF(OR(C79="",M79="",M79=0),"",M79)</f>
        <v>46170.47645833333</v>
      </c>
      <c r="O79" s="13">
        <v>46204.083333333336</v>
      </c>
      <c r="P79" s="13" cm="1" t="n">
        <f t="array" ref="P79">IF(C79="","",IF(OR(O79="",O79=0),"-",O79))</f>
        <v>46204.083333333336</v>
      </c>
      <c r="Q79" s="14">
        <v>0</v>
      </c>
      <c r="R79" s="6" cm="1" t="str">
        <f t="array" ref="R79">IF(C79="","",ROUND(Q79/1000000,3)&amp;" M€")</f>
        <v>0 M€</v>
      </c>
      <c r="S79" s="15">
        <v>10</v>
      </c>
      <c r="T79" s="6" cm="1" t="str">
        <f t="array" ref="T79">IF(C79="","",SUBSTITUTE(S79,"","")&amp;"%")</f>
        <v>10%</v>
      </c>
      <c r="U79" s="12" cm="1" t="str">
        <f t="array" ref="U79">IF(($N79="")*($P79=""),"",IF(($N79&lt;&gt;"")*($N79&gt;TODAY()-9)*($N79&lt;TODAY()+1)*($P79&lt;&gt;"")*($P79&gt;=TODAY())*($P79&lt;=TODAY()+13),"Semaine passée &amp; à venir",IF(($N79&lt;&gt;"")*($N79&gt;TODAY()-9)*($N79&lt;TODAY()+1),"Semaine passée",IF(($P79&lt;&gt;"")*($P79&gt;=TODAY())*($P79&lt;=TODAY()+13),"À venir","Autre"))))</f>
        <v>Semaine passée</v>
      </c>
      <c r="V79" s="5" cm="1" t="n">
        <f t="array" ref="V79">IF(C79&lt;&gt;"",1,0)</f>
        <v>1</v>
      </c>
      <c r="W79" s="5">
</c>
      <c r="X79" s="5">
</c>
      <c r="Y79" s="5">
</c>
      <c r="Z79" s="5">
</c>
      <c r="AA79" s="5">
</c>
      <c r="AB79" s="5">
</c>
      <c r="AC79" s="5">
</c>
      <c r="AD79" s="5">
</c>
      <c r="AE79" s="5">
</c>
      <c r="AF79" s="5">
</c>
      <c r="AG79" s="5">
</c>
      <c r="AH79" s="5">
</c>
      <c r="AI79" s="5">
</c>
      <c r="AJ79" s="5">
</c>
      <c r="AK79" s="5">
</c>
    </row>
    <row r="80" ht="65.25" customHeight="1">
      <c r="A80" s="6" t="s">
        <v>23</v>
      </c>
      <c r="B80" s="6" t="s">
        <v>70</v>
      </c>
      <c r="C80" s="11" t="s">
        <v>280</v>
      </c>
      <c r="D80" s="11" t="s">
        <v>281</v>
      </c>
      <c r="E80" s="6" t="s">
        <v>57</v>
      </c>
      <c r="F80" s="6" t="s">
        <v>282</v>
      </c>
      <c r="G80" s="6" cm="1" t="str">
        <f t="array" ref="G80">IF(F80="","",SUBSTITUTE(SUBSTITUTE(SUBSTITUTE(SUBSTITUTE(F80,"&lt;li&gt;",CHAR(10)),"&lt;/li&gt;",""),"&lt;br&gt;",CHAR(10)),"&lt;strong&gt;",""))</f>
        <v>&lt;p&gt;Nouvelle piste créée équipe Ventes. Enrichissement lead impossible (email invalide). Déjà pitché à contacter par LG, mais pas la bonne personne. Aucune activité complémentaire, pas de retour prospect, pas d'action planifiée. Prochaine étape&amp;nbsp;: identifier bon contact et relancer.&lt;/p&gt;</v>
      </c>
      <c r="H80" s="6" cm="1" t="str">
        <f t="array" ref="H80">IF(G80="","",SUBSTITUTE(SUBSTITUTE(SUBSTITUTE(SUBSTITUTE(SUBSTITUTE(G80,"&lt;p&gt;",""),"&lt;/p&gt;",""),"&lt;ul&gt;",""),"&lt;/ul&gt;",""),"&lt;/strong&gt;",""))</f>
        <v>Nouvelle piste créée équipe Ventes. Enrichissement lead impossible (email invalide). Déjà pitché à contacter par LG, mais pas la bonne personne. Aucune activité complémentaire, pas de retour prospect, pas d'action planifiée. Prochaine étape&amp;nbsp;: identifier bon contact et relancer.</v>
      </c>
      <c r="I80" s="12" cm="1" t="str">
        <f t="array" ref="I80">IF(C80="","",IF(OR(H80="",H80=0,H80=FALSE),"-",H80))</f>
        <v>Nouvelle piste créée équipe Ventes. Enrichissement lead impossible (email invalide). Déjà pitché à contacter par LG, mais pas la bonne personne. Aucune activité complémentaire, pas de retour prospect, pas d'action planifiée. Prochaine étape&amp;nbsp;: identifier bon contact et relancer.</v>
      </c>
      <c r="J80" s="6">
</c>
      <c r="K80" s="6" t="s">
        <v>75</v>
      </c>
      <c r="L80" s="6" cm="1" t="str">
        <f t="array" ref="L80">IF(C80="","",IF(K80="Mort / Plus rien à faire","KO","OK"))</f>
        <v>OK</v>
      </c>
      <c r="M80" s="13">
        <v>46139.63295138889</v>
      </c>
      <c r="N80" s="13" cm="1" t="n">
        <f t="array" ref="N80">IF(OR(C80="",M80="",M80=0),"",M80)</f>
        <v>46139.63295138889</v>
      </c>
      <c r="O80" s="13">
</c>
      <c r="P80" s="13" cm="1" t="str">
        <f t="array" ref="P80">IF(C80="","",IF(OR(O80="",O80=0),"-",O80))</f>
        <v>-</v>
      </c>
      <c r="Q80" s="14">
        <v>0</v>
      </c>
      <c r="R80" s="6" cm="1" t="str">
        <f t="array" ref="R80">IF(C80="","",ROUND(Q80/1000000,3)&amp;" M€")</f>
        <v>0 M€</v>
      </c>
      <c r="S80" s="15">
        <v>10</v>
      </c>
      <c r="T80" s="6" cm="1" t="str">
        <f t="array" ref="T80">IF(C80="","",SUBSTITUTE(S80,"","")&amp;"%")</f>
        <v>10%</v>
      </c>
      <c r="U80" s="12" cm="1" t="str">
        <f t="array" ref="U80">IF(($N80="")*($P80=""),"",IF(($N80&lt;&gt;"")*($N80&gt;TODAY()-9)*($N80&lt;TODAY()+1)*($P80&lt;&gt;"")*($P80&gt;=TODAY())*($P80&lt;=TODAY()+13),"Semaine passée &amp; à venir",IF(($N80&lt;&gt;"")*($N80&gt;TODAY()-9)*($N80&lt;TODAY()+1),"Semaine passée",IF(($P80&lt;&gt;"")*($P80&gt;=TODAY())*($P80&lt;=TODAY()+13),"À venir","Autre"))))</f>
        <v>Autre</v>
      </c>
      <c r="V80" s="5" cm="1" t="n">
        <f t="array" ref="V80">IF(C80&lt;&gt;"",1,0)</f>
        <v>1</v>
      </c>
      <c r="W80" s="5">
</c>
      <c r="X80" s="5">
</c>
      <c r="Y80" s="5">
</c>
      <c r="Z80" s="5">
</c>
      <c r="AA80" s="5">
</c>
      <c r="AB80" s="5">
</c>
      <c r="AC80" s="5">
</c>
      <c r="AD80" s="5">
</c>
      <c r="AE80" s="5">
</c>
      <c r="AF80" s="5">
</c>
      <c r="AG80" s="5">
</c>
      <c r="AH80" s="5">
</c>
      <c r="AI80" s="5">
</c>
      <c r="AJ80" s="5">
</c>
      <c r="AK80" s="5">
</c>
    </row>
    <row r="81" ht="65.25" customHeight="1">
      <c r="A81" s="6" t="s">
        <v>23</v>
      </c>
      <c r="B81" s="6" t="s">
        <v>70</v>
      </c>
      <c r="C81" s="11" t="s">
        <v>283</v>
      </c>
      <c r="D81" s="11" t="s">
        <v>284</v>
      </c>
      <c r="E81" s="6" t="s">
        <v>53</v>
      </c>
      <c r="F81" s="6" t="s">
        <v>285</v>
      </c>
      <c r="G81" s="6" cm="1" t="str">
        <f t="array" ref="G81">IF(F81="","",SUBSTITUTE(SUBSTITUTE(SUBSTITUTE(SUBSTITUTE(F81,"&lt;li&gt;",CHAR(10)),"&lt;/li&gt;",""),"&lt;br&gt;",CHAR(10)),"&lt;strong&gt;",""))</f>
        <v>&lt;p&gt;26 mars : réponse BPCE sur référencement 150 0 B ter, action CJ en cours. Suivi par Romain Andrieu. Prochaine étape : pousser référencement 150 0 Bter Capdev et travailler offre Transgénérationnelle. Pas d'autres retours ou conclusions prospect mentionnés.&lt;/p&gt;</v>
      </c>
      <c r="H81" s="6" cm="1" t="str">
        <f t="array" ref="H81">IF(G81="","",SUBSTITUTE(SUBSTITUTE(SUBSTITUTE(SUBSTITUTE(SUBSTITUTE(G81,"&lt;p&gt;",""),"&lt;/p&gt;",""),"&lt;ul&gt;",""),"&lt;/ul&gt;",""),"&lt;/strong&gt;",""))</f>
        <v>26 mars : réponse BPCE sur référencement 150 0 B ter, action CJ en cours. Suivi par Romain Andrieu. Prochaine étape : pousser référencement 150 0 Bter Capdev et travailler offre Transgénérationnelle. Pas d'autres retours ou conclusions prospect mentionnés.</v>
      </c>
      <c r="I81" s="12" cm="1" t="str">
        <f t="array" ref="I81">IF(C81="","",IF(OR(H81="",H81=0,H81=FALSE),"-",H81))</f>
        <v>26 mars : réponse BPCE sur référencement 150 0 B ter, action CJ en cours. Suivi par Romain Andrieu. Prochaine étape : pousser référencement 150 0 Bter Capdev et travailler offre Transgénérationnelle. Pas d'autres retours ou conclusions prospect mentionnés.</v>
      </c>
      <c r="J81" s="6" t="s">
        <v>286</v>
      </c>
      <c r="K81" s="6" t="s">
        <v>75</v>
      </c>
      <c r="L81" s="6" cm="1" t="str">
        <f t="array" ref="L81">IF(C81="","",IF(K81="Mort / Plus rien à faire","KO","OK"))</f>
        <v>OK</v>
      </c>
      <c r="M81" s="13">
        <v>46129.76818287037</v>
      </c>
      <c r="N81" s="13" cm="1" t="n">
        <f t="array" ref="N81">IF(OR(C81="",M81="",M81=0),"",M81)</f>
        <v>46129.76818287037</v>
      </c>
      <c r="O81" s="13">
        <v>46206.083333333336</v>
      </c>
      <c r="P81" s="13" cm="1" t="n">
        <f t="array" ref="P81">IF(C81="","",IF(OR(O81="",O81=0),"-",O81))</f>
        <v>46206.083333333336</v>
      </c>
      <c r="Q81" s="14">
        <v>0</v>
      </c>
      <c r="R81" s="6" cm="1" t="str">
        <f t="array" ref="R81">IF(C81="","",ROUND(Q81/1000000,3)&amp;" M€")</f>
        <v>0 M€</v>
      </c>
      <c r="S81" s="15">
        <v>10</v>
      </c>
      <c r="T81" s="6" cm="1" t="str">
        <f t="array" ref="T81">IF(C81="","",SUBSTITUTE(S81,"","")&amp;"%")</f>
        <v>10%</v>
      </c>
      <c r="U81" s="12" cm="1" t="str">
        <f t="array" ref="U81">IF(($N81="")*($P81=""),"",IF(($N81&lt;&gt;"")*($N81&gt;TODAY()-9)*($N81&lt;TODAY()+1)*($P81&lt;&gt;"")*($P81&gt;=TODAY())*($P81&lt;=TODAY()+13),"Semaine passée &amp; à venir",IF(($N81&lt;&gt;"")*($N81&gt;TODAY()-9)*($N81&lt;TODAY()+1),"Semaine passée",IF(($P81&lt;&gt;"")*($P81&gt;=TODAY())*($P81&lt;=TODAY()+13),"À venir","Autre"))))</f>
        <v>Autre</v>
      </c>
      <c r="V81" s="5" cm="1" t="n">
        <f t="array" ref="V81">IF(C81&lt;&gt;"",1,0)</f>
        <v>1</v>
      </c>
      <c r="W81" s="5">
</c>
      <c r="X81" s="5">
</c>
      <c r="Y81" s="5">
</c>
      <c r="Z81" s="5">
</c>
      <c r="AA81" s="5">
</c>
      <c r="AB81" s="5">
</c>
      <c r="AC81" s="5">
</c>
      <c r="AD81" s="5">
</c>
      <c r="AE81" s="5">
</c>
      <c r="AF81" s="5">
</c>
      <c r="AG81" s="5">
</c>
      <c r="AH81" s="5">
</c>
      <c r="AI81" s="5">
</c>
      <c r="AJ81" s="5">
</c>
      <c r="AK81" s="5">
</c>
    </row>
    <row r="82" ht="65.25" customHeight="1">
      <c r="A82" s="6" t="s">
        <v>23</v>
      </c>
      <c r="B82" s="6" t="s">
        <v>76</v>
      </c>
      <c r="C82" s="11" t="s">
        <v>287</v>
      </c>
      <c r="D82" s="11" t="s">
        <v>288</v>
      </c>
      <c r="E82" s="6" t="s">
        <v>38</v>
      </c>
      <c r="F82" s="6" t="s">
        <v>289</v>
      </c>
      <c r="G82" s="6" cm="1" t="str">
        <f t="array" ref="G82">IF(F82="","",SUBSTITUTE(SUBSTITUTE(SUBSTITUTE(SUBSTITUTE(F82,"&lt;li&gt;",CHAR(10)),"&lt;/li&gt;",""),"&lt;br&gt;",CHAR(10)),"&lt;strong&gt;",""))</f>
        <v>&lt;p&gt;Message laissé sur répondeur pour relance RDV avec Gérant du FCPI en juin, suite au dernier RDV de juin 2025. Pas de retour à ce jour. Prochaine étape : attendre réponse du gérant pour fixer un nouveau rendez-vous. Aucun autre échange ou action récente constaté.&lt;/p&gt;</v>
      </c>
      <c r="H82" s="6" cm="1" t="str">
        <f t="array" ref="H82">IF(G82="","",SUBSTITUTE(SUBSTITUTE(SUBSTITUTE(SUBSTITUTE(SUBSTITUTE(G82,"&lt;p&gt;",""),"&lt;/p&gt;",""),"&lt;ul&gt;",""),"&lt;/ul&gt;",""),"&lt;/strong&gt;",""))</f>
        <v>Message laissé sur répondeur pour relance RDV avec Gérant du FCPI en juin, suite au dernier RDV de juin 2025. Pas de retour à ce jour. Prochaine étape : attendre réponse du gérant pour fixer un nouveau rendez-vous. Aucun autre échange ou action récente constaté.</v>
      </c>
      <c r="I82" s="12" cm="1" t="str">
        <f t="array" ref="I82">IF(C82="","",IF(OR(H82="",H82=0,H82=FALSE),"-",H82))</f>
        <v>Message laissé sur répondeur pour relance RDV avec Gérant du FCPI en juin, suite au dernier RDV de juin 2025. Pas de retour à ce jour. Prochaine étape : attendre réponse du gérant pour fixer un nouveau rendez-vous. Aucun autre échange ou action récente constaté.</v>
      </c>
      <c r="J82" s="6">
</c>
      <c r="K82" s="6" t="s">
        <v>75</v>
      </c>
      <c r="L82" s="6" cm="1" t="str">
        <f t="array" ref="L82">IF(C82="","",IF(K82="Mort / Plus rien à faire","KO","OK"))</f>
        <v>OK</v>
      </c>
      <c r="M82" s="13">
        <v>46174.72866898148</v>
      </c>
      <c r="N82" s="13" cm="1" t="n">
        <f t="array" ref="N82">IF(OR(C82="",M82="",M82=0),"",M82)</f>
        <v>46174.72866898148</v>
      </c>
      <c r="O82" s="13">
</c>
      <c r="P82" s="13" cm="1" t="str">
        <f t="array" ref="P82">IF(C82="","",IF(OR(O82="",O82=0),"-",O82))</f>
        <v>-</v>
      </c>
      <c r="Q82" s="14">
        <v>0</v>
      </c>
      <c r="R82" s="6" cm="1" t="str">
        <f t="array" ref="R82">IF(C82="","",ROUND(Q82/1000000,3)&amp;" M€")</f>
        <v>0 M€</v>
      </c>
      <c r="S82" s="15">
        <v>10</v>
      </c>
      <c r="T82" s="6" cm="1" t="str">
        <f t="array" ref="T82">IF(C82="","",SUBSTITUTE(S82,"","")&amp;"%")</f>
        <v>10%</v>
      </c>
      <c r="U82" s="12" cm="1" t="str">
        <f t="array" ref="U82">IF(($N82="")*($P82=""),"",IF(($N82&lt;&gt;"")*($N82&gt;TODAY()-9)*($N82&lt;TODAY()+1)*($P82&lt;&gt;"")*($P82&gt;=TODAY())*($P82&lt;=TODAY()+13),"Semaine passée &amp; à venir",IF(($N82&lt;&gt;"")*($N82&gt;TODAY()-9)*($N82&lt;TODAY()+1),"Semaine passée",IF(($P82&lt;&gt;"")*($P82&gt;=TODAY())*($P82&lt;=TODAY()+13),"À venir","Autre"))))</f>
        <v>Semaine passée</v>
      </c>
      <c r="V82" s="5" cm="1" t="n">
        <f t="array" ref="V82">IF(C82&lt;&gt;"",1,0)</f>
        <v>1</v>
      </c>
      <c r="W82" s="5">
</c>
      <c r="X82" s="5">
</c>
      <c r="Y82" s="5">
</c>
      <c r="Z82" s="5">
</c>
      <c r="AA82" s="5">
</c>
      <c r="AB82" s="5">
</c>
      <c r="AC82" s="5">
</c>
      <c r="AD82" s="5">
</c>
      <c r="AE82" s="5">
</c>
      <c r="AF82" s="5">
</c>
      <c r="AG82" s="5">
</c>
      <c r="AH82" s="5">
</c>
      <c r="AI82" s="5">
</c>
      <c r="AJ82" s="5">
</c>
      <c r="AK82" s="5">
</c>
    </row>
    <row r="83" ht="65.25" customHeight="1">
      <c r="A83" s="6" t="s">
        <v>23</v>
      </c>
      <c r="B83" s="6" t="s">
        <v>24</v>
      </c>
      <c r="C83" s="11" t="s">
        <v>290</v>
      </c>
      <c r="D83" s="11" t="s">
        <v>291</v>
      </c>
      <c r="E83" s="6" t="s">
        <v>27</v>
      </c>
      <c r="F83" s="6" t="s">
        <v>292</v>
      </c>
      <c r="G83" s="6" cm="1" t="str">
        <f t="array" ref="G83">IF(F83="","",SUBSTITUTE(SUBSTITUTE(SUBSTITUTE(SUBSTITUTE(F83,"&lt;li&gt;",CHAR(10)),"&lt;/li&gt;",""),"&lt;br&gt;",CHAR(10)),"&lt;strong&gt;",""))</f>
        <v>&lt;p&gt;Cold call FCPI 25/02, prospect travaille surtout avec LBO France, peu d'intérêt clients pour FCPI. Présentation envoyée, relance mail 19/03, proposition RDV. Prospect répond mais FCPI pas prioritaire actuellement. Pas d'activité récente ni prochaine étape planifiée.&lt;/p&gt;</v>
      </c>
      <c r="H83" s="6" cm="1" t="str">
        <f t="array" ref="H83">IF(G83="","",SUBSTITUTE(SUBSTITUTE(SUBSTITUTE(SUBSTITUTE(SUBSTITUTE(G83,"&lt;p&gt;",""),"&lt;/p&gt;",""),"&lt;ul&gt;",""),"&lt;/ul&gt;",""),"&lt;/strong&gt;",""))</f>
        <v>Cold call FCPI 25/02, prospect travaille surtout avec LBO France, peu d'intérêt clients pour FCPI. Présentation envoyée, relance mail 19/03, proposition RDV. Prospect répond mais FCPI pas prioritaire actuellement. Pas d'activité récente ni prochaine étape planifiée.</v>
      </c>
      <c r="I83" s="12" cm="1" t="str">
        <f t="array" ref="I83">IF(C83="","",IF(OR(H83="",H83=0,H83=FALSE),"-",H83))</f>
        <v>Cold call FCPI 25/02, prospect travaille surtout avec LBO France, peu d'intérêt clients pour FCPI. Présentation envoyée, relance mail 19/03, proposition RDV. Prospect répond mais FCPI pas prioritaire actuellement. Pas d'activité récente ni prochaine étape planifiée.</v>
      </c>
      <c r="J83" s="6" t="s">
        <v>293</v>
      </c>
      <c r="K83" s="6" t="s">
        <v>75</v>
      </c>
      <c r="L83" s="6" cm="1" t="str">
        <f t="array" ref="L83">IF(C83="","",IF(K83="Mort / Plus rien à faire","KO","OK"))</f>
        <v>OK</v>
      </c>
      <c r="M83" s="13">
        <v>46133.626493055555</v>
      </c>
      <c r="N83" s="13" cm="1" t="n">
        <f t="array" ref="N83">IF(OR(C83="",M83="",M83=0),"",M83)</f>
        <v>46133.626493055555</v>
      </c>
      <c r="O83" s="13">
        <v>46196.625</v>
      </c>
      <c r="P83" s="13" cm="1" t="n">
        <f t="array" ref="P83">IF(C83="","",IF(OR(O83="",O83=0),"-",O83))</f>
        <v>46196.625</v>
      </c>
      <c r="Q83" s="14">
        <v>0</v>
      </c>
      <c r="R83" s="6" cm="1" t="str">
        <f t="array" ref="R83">IF(C83="","",ROUND(Q83/1000000,3)&amp;" M€")</f>
        <v>0 M€</v>
      </c>
      <c r="S83" s="15">
        <v>10</v>
      </c>
      <c r="T83" s="6" cm="1" t="str">
        <f t="array" ref="T83">IF(C83="","",SUBSTITUTE(S83,"","")&amp;"%")</f>
        <v>10%</v>
      </c>
      <c r="U83" s="12" cm="1" t="str">
        <f t="array" ref="U83">IF(($N83="")*($P83=""),"",IF(($N83&lt;&gt;"")*($N83&gt;TODAY()-9)*($N83&lt;TODAY()+1)*($P83&lt;&gt;"")*($P83&gt;=TODAY())*($P83&lt;=TODAY()+13),"Semaine passée &amp; à venir",IF(($N83&lt;&gt;"")*($N83&gt;TODAY()-9)*($N83&lt;TODAY()+1),"Semaine passée",IF(($P83&lt;&gt;"")*($P83&gt;=TODAY())*($P83&lt;=TODAY()+13),"À venir","Autre"))))</f>
        <v>Autre</v>
      </c>
      <c r="V83" s="5" cm="1" t="n">
        <f t="array" ref="V83">IF(C83&lt;&gt;"",1,0)</f>
        <v>1</v>
      </c>
      <c r="W83" s="5">
</c>
      <c r="X83" s="5">
</c>
      <c r="Y83" s="5">
</c>
      <c r="Z83" s="5">
</c>
      <c r="AA83" s="5">
</c>
      <c r="AB83" s="5">
</c>
      <c r="AC83" s="5">
</c>
      <c r="AD83" s="5">
</c>
      <c r="AE83" s="5">
</c>
      <c r="AF83" s="5">
</c>
      <c r="AG83" s="5">
</c>
      <c r="AH83" s="5">
</c>
      <c r="AI83" s="5">
</c>
      <c r="AJ83" s="5">
</c>
      <c r="AK83" s="5">
</c>
    </row>
    <row r="84" ht="65.25" customHeight="1">
      <c r="A84" s="6" t="s">
        <v>23</v>
      </c>
      <c r="B84" s="6" t="s">
        <v>76</v>
      </c>
      <c r="C84" s="11" t="s">
        <v>294</v>
      </c>
      <c r="D84" s="11" t="s">
        <v>295</v>
      </c>
      <c r="E84" s="6" t="s">
        <v>38</v>
      </c>
      <c r="F84" s="6" t="s">
        <v>296</v>
      </c>
      <c r="G84" s="6" cm="1" t="str">
        <f t="array" ref="G84">IF(F84="","",SUBSTITUTE(SUBSTITUTE(SUBSTITUTE(SUBSTITUTE(F84,"&lt;li&gt;",CHAR(10)),"&lt;/li&gt;",""),"&lt;br&gt;",CHAR(10)),"&lt;strong&gt;",""))</f>
        <v>&lt;p&gt;05/02/2026: Intérêt manifesté pour solutions de diversification, peu de dossiers de remploi, prise de contact à planifier avec Charles. Lead créé pour équipe Ventes. Enrichissement lead impossible (email invalide). Aucune activité ou action future planifiée à ce jour.&lt;/p&gt;</v>
      </c>
      <c r="H84" s="6" cm="1" t="str">
        <f t="array" ref="H84">IF(G84="","",SUBSTITUTE(SUBSTITUTE(SUBSTITUTE(SUBSTITUTE(SUBSTITUTE(G84,"&lt;p&gt;",""),"&lt;/p&gt;",""),"&lt;ul&gt;",""),"&lt;/ul&gt;",""),"&lt;/strong&gt;",""))</f>
        <v>05/02/2026: Intérêt manifesté pour solutions de diversification, peu de dossiers de remploi, prise de contact à planifier avec Charles. Lead créé pour équipe Ventes. Enrichissement lead impossible (email invalide). Aucune activité ou action future planifiée à ce jour.</v>
      </c>
      <c r="I84" s="12" cm="1" t="str">
        <f t="array" ref="I84">IF(C84="","",IF(OR(H84="",H84=0,H84=FALSE),"-",H84))</f>
        <v>05/02/2026: Intérêt manifesté pour solutions de diversification, peu de dossiers de remploi, prise de contact à planifier avec Charles. Lead créé pour équipe Ventes. Enrichissement lead impossible (email invalide). Aucune activité ou action future planifiée à ce jour.</v>
      </c>
      <c r="J84" s="6">
</c>
      <c r="K84" s="6" t="s">
        <v>59</v>
      </c>
      <c r="L84" s="6" cm="1" t="str">
        <f t="array" ref="L84">IF(C84="","",IF(K84="Mort / Plus rien à faire","KO","OK"))</f>
        <v>OK</v>
      </c>
      <c r="M84" s="13">
        <v>46094.75241898148</v>
      </c>
      <c r="N84" s="13" cm="1" t="n">
        <f t="array" ref="N84">IF(OR(C84="",M84="",M84=0),"",M84)</f>
        <v>46094.75241898148</v>
      </c>
      <c r="O84" s="13">
</c>
      <c r="P84" s="13" cm="1" t="str">
        <f t="array" ref="P84">IF(C84="","",IF(OR(O84="",O84=0),"-",O84))</f>
        <v>-</v>
      </c>
      <c r="Q84" s="14">
        <v>0</v>
      </c>
      <c r="R84" s="6" cm="1" t="str">
        <f t="array" ref="R84">IF(C84="","",ROUND(Q84/1000000,3)&amp;" M€")</f>
        <v>0 M€</v>
      </c>
      <c r="S84" s="15">
        <v>10</v>
      </c>
      <c r="T84" s="6" cm="1" t="str">
        <f t="array" ref="T84">IF(C84="","",SUBSTITUTE(S84,"","")&amp;"%")</f>
        <v>10%</v>
      </c>
      <c r="U84" s="12" cm="1" t="str">
        <f t="array" ref="U84">IF(($N84="")*($P84=""),"",IF(($N84&lt;&gt;"")*($N84&gt;TODAY()-9)*($N84&lt;TODAY()+1)*($P84&lt;&gt;"")*($P84&gt;=TODAY())*($P84&lt;=TODAY()+13),"Semaine passée &amp; à venir",IF(($N84&lt;&gt;"")*($N84&gt;TODAY()-9)*($N84&lt;TODAY()+1),"Semaine passée",IF(($P84&lt;&gt;"")*($P84&gt;=TODAY())*($P84&lt;=TODAY()+13),"À venir","Autre"))))</f>
        <v>Autre</v>
      </c>
      <c r="V84" s="5" cm="1" t="n">
        <f t="array" ref="V84">IF(C84&lt;&gt;"",1,0)</f>
        <v>1</v>
      </c>
      <c r="W84" s="5">
</c>
      <c r="X84" s="5">
</c>
      <c r="Y84" s="5">
</c>
      <c r="Z84" s="5">
</c>
      <c r="AA84" s="5">
</c>
      <c r="AB84" s="5">
</c>
      <c r="AC84" s="5">
</c>
      <c r="AD84" s="5">
</c>
      <c r="AE84" s="5">
</c>
      <c r="AF84" s="5">
</c>
      <c r="AG84" s="5">
</c>
      <c r="AH84" s="5">
</c>
      <c r="AI84" s="5">
</c>
      <c r="AJ84" s="5">
</c>
      <c r="AK84" s="5">
</c>
    </row>
    <row r="85" ht="65.25" customHeight="1">
      <c r="A85" s="6" t="s">
        <v>23</v>
      </c>
      <c r="B85" s="6" t="s">
        <v>24</v>
      </c>
      <c r="C85" s="11" t="s">
        <v>297</v>
      </c>
      <c r="D85" s="11" t="s">
        <v>298</v>
      </c>
      <c r="E85" s="6" t="s">
        <v>57</v>
      </c>
      <c r="F85" s="6" t="s">
        <v>299</v>
      </c>
      <c r="G85" s="6" cm="1" t="str">
        <f t="array" ref="G85">IF(F85="","",SUBSTITUTE(SUBSTITUTE(SUBSTITUTE(SUBSTITUTE(F85,"&lt;li&gt;",CHAR(10)),"&lt;/li&gt;",""),"&lt;br&gt;",CHAR(10)),"&lt;strong&gt;",""))</f>
        <v>&lt;p&gt;2026.06.01 RDV physique Club d'Affaires (Bruno Delpeut, Audacia). Présentation club, modèle partenariat, projet événement juillet. Club lancé 2024, 150 cabinets membres, ambition croissance. Différenciation : conventions directes sociétés de gestion/CGP. Prochaine étape : organiser événement juillet.&lt;/p&gt;</v>
      </c>
      <c r="H85" s="6" cm="1" t="str">
        <f t="array" ref="H85">IF(G85="","",SUBSTITUTE(SUBSTITUTE(SUBSTITUTE(SUBSTITUTE(SUBSTITUTE(G85,"&lt;p&gt;",""),"&lt;/p&gt;",""),"&lt;ul&gt;",""),"&lt;/ul&gt;",""),"&lt;/strong&gt;",""))</f>
        <v>2026.06.01 RDV physique Club d'Affaires (Bruno Delpeut, Audacia). Présentation club, modèle partenariat, projet événement juillet. Club lancé 2024, 150 cabinets membres, ambition croissance. Différenciation : conventions directes sociétés de gestion/CGP. Prochaine étape : organiser événement juillet.</v>
      </c>
      <c r="I85" s="12" cm="1" t="str">
        <f t="array" ref="I85">IF(C85="","",IF(OR(H85="",H85=0,H85=FALSE),"-",H85))</f>
        <v>2026.06.01 RDV physique Club d'Affaires (Bruno Delpeut, Audacia). Présentation club, modèle partenariat, projet événement juillet. Club lancé 2024, 150 cabinets membres, ambition croissance. Différenciation : conventions directes sociétés de gestion/CGP. Prochaine étape : organiser événement juillet.</v>
      </c>
      <c r="J85" s="6" t="s">
        <v>119</v>
      </c>
      <c r="K85" s="6" t="s">
        <v>75</v>
      </c>
      <c r="L85" s="6" cm="1" t="str">
        <f t="array" ref="L85">IF(C85="","",IF(K85="Mort / Plus rien à faire","KO","OK"))</f>
        <v>OK</v>
      </c>
      <c r="M85" s="13">
        <v>46171.74369212963</v>
      </c>
      <c r="N85" s="13" cm="1" t="n">
        <f t="array" ref="N85">IF(OR(C85="",M85="",M85=0),"",M85)</f>
        <v>46171.74369212963</v>
      </c>
      <c r="O85" s="13">
</c>
      <c r="P85" s="13" cm="1" t="str">
        <f t="array" ref="P85">IF(C85="","",IF(OR(O85="",O85=0),"-",O85))</f>
        <v>-</v>
      </c>
      <c r="Q85" s="14">
        <v>0</v>
      </c>
      <c r="R85" s="6" cm="1" t="str">
        <f t="array" ref="R85">IF(C85="","",ROUND(Q85/1000000,3)&amp;" M€")</f>
        <v>0 M€</v>
      </c>
      <c r="S85" s="15">
        <v>10</v>
      </c>
      <c r="T85" s="6" cm="1" t="str">
        <f t="array" ref="T85">IF(C85="","",SUBSTITUTE(S85,"","")&amp;"%")</f>
        <v>10%</v>
      </c>
      <c r="U85" s="12" cm="1" t="str">
        <f t="array" ref="U85">IF(($N85="")*($P85=""),"",IF(($N85&lt;&gt;"")*($N85&gt;TODAY()-9)*($N85&lt;TODAY()+1)*($P85&lt;&gt;"")*($P85&gt;=TODAY())*($P85&lt;=TODAY()+13),"Semaine passée &amp; à venir",IF(($N85&lt;&gt;"")*($N85&gt;TODAY()-9)*($N85&lt;TODAY()+1),"Semaine passée",IF(($P85&lt;&gt;"")*($P85&gt;=TODAY())*($P85&lt;=TODAY()+13),"À venir","Autre"))))</f>
        <v>Semaine passée</v>
      </c>
      <c r="V85" s="5" cm="1" t="n">
        <f t="array" ref="V85">IF(C85&lt;&gt;"",1,0)</f>
        <v>1</v>
      </c>
      <c r="W85" s="5">
</c>
      <c r="X85" s="5">
</c>
      <c r="Y85" s="5">
</c>
      <c r="Z85" s="5">
</c>
      <c r="AA85" s="5">
</c>
      <c r="AB85" s="5">
</c>
      <c r="AC85" s="5">
</c>
      <c r="AD85" s="5">
</c>
      <c r="AE85" s="5">
</c>
      <c r="AF85" s="5">
</c>
      <c r="AG85" s="5">
</c>
      <c r="AH85" s="5">
</c>
      <c r="AI85" s="5">
</c>
      <c r="AJ85" s="5">
</c>
      <c r="AK85" s="5">
</c>
    </row>
    <row r="86" ht="65.25" customHeight="1">
      <c r="A86" s="6" t="s">
        <v>23</v>
      </c>
      <c r="B86" s="6" t="s">
        <v>43</v>
      </c>
      <c r="C86" s="11" t="s">
        <v>300</v>
      </c>
      <c r="D86" s="11" t="s">
        <v>300</v>
      </c>
      <c r="E86" s="6" t="s">
        <v>57</v>
      </c>
      <c r="F86" s="6" t="s">
        <v>301</v>
      </c>
      <c r="G86" s="6" cm="1" t="str">
        <f t="array" ref="G86">IF(F86="","",SUBSTITUTE(SUBSTITUTE(SUBSTITUTE(SUBSTITUTE(F86,"&lt;li&gt;",CHAR(10)),"&lt;/li&gt;",""),"&lt;br&gt;",CHAR(10)),"&lt;strong&gt;",""))</f>
        <v>&lt;p&gt;Aucune activité significative menée sur le prospect depuis la création de la piste le 16/03/2026. Aucun échange, appel ou action de suivi enregistré. Pas de retour ni de conclusion du prospect sur les fonds présentés. Prochaines étapes non planifiées, aucune action à venir identifiée.&lt;/p&gt;</v>
      </c>
      <c r="H86" s="6" cm="1" t="str">
        <f t="array" ref="H86">IF(G86="","",SUBSTITUTE(SUBSTITUTE(SUBSTITUTE(SUBSTITUTE(SUBSTITUTE(G86,"&lt;p&gt;",""),"&lt;/p&gt;",""),"&lt;ul&gt;",""),"&lt;/ul&gt;",""),"&lt;/strong&gt;",""))</f>
        <v>Aucune activité significative menée sur le prospect depuis la création de la piste le 16/03/2026. Aucun échange, appel ou action de suivi enregistré. Pas de retour ni de conclusion du prospect sur les fonds présentés. Prochaines étapes non planifiées, aucune action à venir identifiée.</v>
      </c>
      <c r="I86" s="12" cm="1" t="str">
        <f t="array" ref="I86">IF(C86="","",IF(OR(H86="",H86=0,H86=FALSE),"-",H86))</f>
        <v>Aucune activité significative menée sur le prospect depuis la création de la piste le 16/03/2026. Aucun échange, appel ou action de suivi enregistré. Pas de retour ni de conclusion du prospect sur les fonds présentés. Prochaines étapes non planifiées, aucune action à venir identifiée.</v>
      </c>
      <c r="J86" s="6">
</c>
      <c r="K86" s="6" t="s">
        <v>59</v>
      </c>
      <c r="L86" s="6" cm="1" t="str">
        <f t="array" ref="L86">IF(C86="","",IF(K86="Mort / Plus rien à faire","KO","OK"))</f>
        <v>OK</v>
      </c>
      <c r="M86" s="13">
        <v>46125.64271990741</v>
      </c>
      <c r="N86" s="13" cm="1" t="n">
        <f t="array" ref="N86">IF(OR(C86="",M86="",M86=0),"",M86)</f>
        <v>46125.64271990741</v>
      </c>
      <c r="O86" s="13">
</c>
      <c r="P86" s="13" cm="1" t="str">
        <f t="array" ref="P86">IF(C86="","",IF(OR(O86="",O86=0),"-",O86))</f>
        <v>-</v>
      </c>
      <c r="Q86" s="14">
        <v>0</v>
      </c>
      <c r="R86" s="6" cm="1" t="str">
        <f t="array" ref="R86">IF(C86="","",ROUND(Q86/1000000,3)&amp;" M€")</f>
        <v>0 M€</v>
      </c>
      <c r="S86" s="15">
        <v>10</v>
      </c>
      <c r="T86" s="6" cm="1" t="str">
        <f t="array" ref="T86">IF(C86="","",SUBSTITUTE(S86,"","")&amp;"%")</f>
        <v>10%</v>
      </c>
      <c r="U86" s="12" cm="1" t="str">
        <f t="array" ref="U86">IF(($N86="")*($P86=""),"",IF(($N86&lt;&gt;"")*($N86&gt;TODAY()-9)*($N86&lt;TODAY()+1)*($P86&lt;&gt;"")*($P86&gt;=TODAY())*($P86&lt;=TODAY()+13),"Semaine passée &amp; à venir",IF(($N86&lt;&gt;"")*($N86&gt;TODAY()-9)*($N86&lt;TODAY()+1),"Semaine passée",IF(($P86&lt;&gt;"")*($P86&gt;=TODAY())*($P86&lt;=TODAY()+13),"À venir","Autre"))))</f>
        <v>Autre</v>
      </c>
      <c r="V86" s="5" cm="1" t="n">
        <f t="array" ref="V86">IF(C86&lt;&gt;"",1,0)</f>
        <v>1</v>
      </c>
      <c r="W86" s="5">
</c>
      <c r="X86" s="5">
</c>
      <c r="Y86" s="5">
</c>
      <c r="Z86" s="5">
</c>
      <c r="AA86" s="5">
</c>
      <c r="AB86" s="5">
</c>
      <c r="AC86" s="5">
</c>
      <c r="AD86" s="5">
</c>
      <c r="AE86" s="5">
</c>
      <c r="AF86" s="5">
</c>
      <c r="AG86" s="5">
</c>
      <c r="AH86" s="5">
</c>
      <c r="AI86" s="5">
</c>
      <c r="AJ86" s="5">
</c>
      <c r="AK86" s="5">
</c>
    </row>
    <row r="87" ht="65.25" customHeight="1">
      <c r="A87" s="6" t="s">
        <v>23</v>
      </c>
      <c r="B87" s="6" t="s">
        <v>24</v>
      </c>
      <c r="C87" s="11" t="s">
        <v>302</v>
      </c>
      <c r="D87" s="11" t="s">
        <v>303</v>
      </c>
      <c r="E87" s="6" t="s">
        <v>57</v>
      </c>
      <c r="F87" s="6" t="s">
        <v>304</v>
      </c>
      <c r="G87" s="6" cm="1" t="str">
        <f t="array" ref="G87">IF(F87="","",SUBSTITUTE(SUBSTITUTE(SUBSTITUTE(SUBSTITUTE(F87,"&lt;li&gt;",CHAR(10)),"&lt;/li&gt;",""),"&lt;br&gt;",CHAR(10)),"&lt;strong&gt;",""))</f>
        <v>&lt;p&gt;RDV fixé 20/05, focus FCPI, 2 bn AUM 90% assurance vie, poche défisc FIP 2-3M€, 100% digital, ouverture PE en direct en cours. Relance faite 29/05 par Théo Salerno. Attente retour suite RDV 20/05, prochaine étape selon feedback prospect. Suivi NEXTGEN en cours.&lt;/p&gt;</v>
      </c>
      <c r="H87" s="6" cm="1" t="str">
        <f t="array" ref="H87">IF(G87="","",SUBSTITUTE(SUBSTITUTE(SUBSTITUTE(SUBSTITUTE(SUBSTITUTE(G87,"&lt;p&gt;",""),"&lt;/p&gt;",""),"&lt;ul&gt;",""),"&lt;/ul&gt;",""),"&lt;/strong&gt;",""))</f>
        <v>RDV fixé 20/05, focus FCPI, 2 bn AUM 90% assurance vie, poche défisc FIP 2-3M€, 100% digital, ouverture PE en direct en cours. Relance faite 29/05 par Théo Salerno. Attente retour suite RDV 20/05, prochaine étape selon feedback prospect. Suivi NEXTGEN en cours.</v>
      </c>
      <c r="I87" s="12" cm="1" t="str">
        <f t="array" ref="I87">IF(C87="","",IF(OR(H87="",H87=0,H87=FALSE),"-",H87))</f>
        <v>RDV fixé 20/05, focus FCPI, 2 bn AUM 90% assurance vie, poche défisc FIP 2-3M€, 100% digital, ouverture PE en direct en cours. Relance faite 29/05 par Théo Salerno. Attente retour suite RDV 20/05, prochaine étape selon feedback prospect. Suivi NEXTGEN en cours.</v>
      </c>
      <c r="J87" s="6" t="s">
        <v>305</v>
      </c>
      <c r="K87" s="6" t="s">
        <v>75</v>
      </c>
      <c r="L87" s="6" cm="1" t="str">
        <f t="array" ref="L87">IF(C87="","",IF(K87="Mort / Plus rien à faire","KO","OK"))</f>
        <v>OK</v>
      </c>
      <c r="M87" s="13">
        <v>46171.43548611111</v>
      </c>
      <c r="N87" s="13" cm="1" t="n">
        <f t="array" ref="N87">IF(OR(C87="",M87="",M87=0),"",M87)</f>
        <v>46171.43548611111</v>
      </c>
      <c r="O87" s="13">
</c>
      <c r="P87" s="13" cm="1" t="str">
        <f t="array" ref="P87">IF(C87="","",IF(OR(O87="",O87=0),"-",O87))</f>
        <v>-</v>
      </c>
      <c r="Q87" s="14">
        <v>0</v>
      </c>
      <c r="R87" s="6" cm="1" t="str">
        <f t="array" ref="R87">IF(C87="","",ROUND(Q87/1000000,3)&amp;" M€")</f>
        <v>0 M€</v>
      </c>
      <c r="S87" s="15">
        <v>10</v>
      </c>
      <c r="T87" s="6" cm="1" t="str">
        <f t="array" ref="T87">IF(C87="","",SUBSTITUTE(S87,"","")&amp;"%")</f>
        <v>10%</v>
      </c>
      <c r="U87" s="12" cm="1" t="str">
        <f t="array" ref="U87">IF(($N87="")*($P87=""),"",IF(($N87&lt;&gt;"")*($N87&gt;TODAY()-9)*($N87&lt;TODAY()+1)*($P87&lt;&gt;"")*($P87&gt;=TODAY())*($P87&lt;=TODAY()+13),"Semaine passée &amp; à venir",IF(($N87&lt;&gt;"")*($N87&gt;TODAY()-9)*($N87&lt;TODAY()+1),"Semaine passée",IF(($P87&lt;&gt;"")*($P87&gt;=TODAY())*($P87&lt;=TODAY()+13),"À venir","Autre"))))</f>
        <v>Semaine passée</v>
      </c>
      <c r="V87" s="5" cm="1" t="n">
        <f t="array" ref="V87">IF(C87&lt;&gt;"",1,0)</f>
        <v>1</v>
      </c>
      <c r="W87" s="5">
</c>
      <c r="X87" s="5">
</c>
      <c r="Y87" s="5">
</c>
      <c r="Z87" s="5">
</c>
      <c r="AA87" s="5">
</c>
      <c r="AB87" s="5">
</c>
      <c r="AC87" s="5">
</c>
      <c r="AD87" s="5">
</c>
      <c r="AE87" s="5">
</c>
      <c r="AF87" s="5">
</c>
      <c r="AG87" s="5">
</c>
      <c r="AH87" s="5">
</c>
      <c r="AI87" s="5">
</c>
      <c r="AJ87" s="5">
</c>
      <c r="AK87" s="5">
</c>
    </row>
    <row r="88" ht="65.25" customHeight="1">
      <c r="A88" s="6" t="s">
        <v>23</v>
      </c>
      <c r="B88" s="6" t="s">
        <v>306</v>
      </c>
      <c r="C88" s="11" t="s">
        <v>307</v>
      </c>
      <c r="D88" s="11" t="s">
        <v>308</v>
      </c>
      <c r="E88" s="6" t="s">
        <v>27</v>
      </c>
      <c r="F88" s="6" t="s">
        <v>309</v>
      </c>
      <c r="G88" s="6" cm="1" t="str">
        <f t="array" ref="G88">IF(F88="","",SUBSTITUTE(SUBSTITUTE(SUBSTITUTE(SUBSTITUTE(F88,"&lt;li&gt;",CHAR(10)),"&lt;/li&gt;",""),"&lt;br&gt;",CHAR(10)),"&lt;strong&gt;",""))</f>
        <v>&lt;p&gt;Multiples relances mails/appels FCPI de nov. 2025 à avr. 2026. Prospect intéressé par nos stratégies mais préfère renforcer relations existantes, pas de nouveaux partenaires pour l’instant. Dernier échange 20/04/2026&amp;nbsp;: ne souhaite plus être contacté, reviendra si besoin. Pas d’action à venir.&lt;/p&gt;</v>
      </c>
      <c r="H88" s="6" cm="1" t="str">
        <f t="array" ref="H88">IF(G88="","",SUBSTITUTE(SUBSTITUTE(SUBSTITUTE(SUBSTITUTE(SUBSTITUTE(G88,"&lt;p&gt;",""),"&lt;/p&gt;",""),"&lt;ul&gt;",""),"&lt;/ul&gt;",""),"&lt;/strong&gt;",""))</f>
        <v>Multiples relances mails/appels FCPI de nov. 2025 à avr. 2026. Prospect intéressé par nos stratégies mais préfère renforcer relations existantes, pas de nouveaux partenaires pour l’instant. Dernier échange 20/04/2026&amp;nbsp;: ne souhaite plus être contacté, reviendra si besoin. Pas d’action à venir.</v>
      </c>
      <c r="I88" s="12" cm="1" t="str">
        <f t="array" ref="I88">IF(C88="","",IF(OR(H88="",H88=0,H88=FALSE),"-",H88))</f>
        <v>Multiples relances mails/appels FCPI de nov. 2025 à avr. 2026. Prospect intéressé par nos stratégies mais préfère renforcer relations existantes, pas de nouveaux partenaires pour l’instant. Dernier échange 20/04/2026&amp;nbsp;: ne souhaite plus être contacté, reviendra si besoin. Pas d’action à venir.</v>
      </c>
      <c r="J88" s="6">
</c>
      <c r="K88" s="6" t="s">
        <v>185</v>
      </c>
      <c r="L88" s="6" cm="1" t="str">
        <f t="array" ref="L88">IF(C88="","",IF(K88="Mort / Plus rien à faire","KO","OK"))</f>
        <v>OK</v>
      </c>
      <c r="M88" s="13">
        <v>46128.66489583333</v>
      </c>
      <c r="N88" s="13" cm="1" t="n">
        <f t="array" ref="N88">IF(OR(C88="",M88="",M88=0),"",M88)</f>
        <v>46128.66489583333</v>
      </c>
      <c r="O88" s="13">
</c>
      <c r="P88" s="13" cm="1" t="str">
        <f t="array" ref="P88">IF(C88="","",IF(OR(O88="",O88=0),"-",O88))</f>
        <v>-</v>
      </c>
      <c r="Q88" s="14">
        <v>0</v>
      </c>
      <c r="R88" s="6" cm="1" t="str">
        <f t="array" ref="R88">IF(C88="","",ROUND(Q88/1000000,3)&amp;" M€")</f>
        <v>0 M€</v>
      </c>
      <c r="S88" s="15">
        <v>0</v>
      </c>
      <c r="T88" s="6" cm="1" t="str">
        <f t="array" ref="T88">IF(C88="","",SUBSTITUTE(S88,"","")&amp;"%")</f>
        <v>0%</v>
      </c>
      <c r="U88" s="12" cm="1" t="str">
        <f t="array" ref="U88">IF(($N88="")*($P88=""),"",IF(($N88&lt;&gt;"")*($N88&gt;TODAY()-9)*($N88&lt;TODAY()+1)*($P88&lt;&gt;"")*($P88&gt;=TODAY())*($P88&lt;=TODAY()+13),"Semaine passée &amp; à venir",IF(($N88&lt;&gt;"")*($N88&gt;TODAY()-9)*($N88&lt;TODAY()+1),"Semaine passée",IF(($P88&lt;&gt;"")*($P88&gt;=TODAY())*($P88&lt;=TODAY()+13),"À venir","Autre"))))</f>
        <v>Autre</v>
      </c>
      <c r="V88" s="5" cm="1" t="n">
        <f t="array" ref="V88">IF(C88&lt;&gt;"",1,0)</f>
        <v>1</v>
      </c>
      <c r="W88" s="5">
</c>
      <c r="X88" s="5">
</c>
      <c r="Y88" s="5">
</c>
      <c r="Z88" s="5">
</c>
      <c r="AA88" s="5">
</c>
      <c r="AB88" s="5">
</c>
      <c r="AC88" s="5">
</c>
      <c r="AD88" s="5">
</c>
      <c r="AE88" s="5">
</c>
      <c r="AF88" s="5">
</c>
      <c r="AG88" s="5">
</c>
      <c r="AH88" s="5">
</c>
      <c r="AI88" s="5">
</c>
      <c r="AJ88" s="5">
</c>
      <c r="AK88" s="5">
</c>
    </row>
    <row r="89" ht="65.25" customHeight="1">
      <c r="A89" s="6" t="s">
        <v>23</v>
      </c>
      <c r="B89" s="6" t="s">
        <v>24</v>
      </c>
      <c r="C89" s="11" t="s">
        <v>310</v>
      </c>
      <c r="D89" s="11" t="s">
        <v>311</v>
      </c>
      <c r="E89" s="6" t="s">
        <v>53</v>
      </c>
      <c r="F89" s="6" t="s">
        <v>312</v>
      </c>
      <c r="G89" s="6" cm="1" t="str">
        <f t="array" ref="G89">IF(F89="","",SUBSTITUTE(SUBSTITUTE(SUBSTITUTE(SUBSTITUTE(F89,"&lt;li&gt;",CHAR(10)),"&lt;/li&gt;",""),"&lt;br&gt;",CHAR(10)),"&lt;strong&gt;",""))</f>
        <v>&lt;p&gt;17/03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marché/avis.&lt;/p&gt;</v>
      </c>
      <c r="H89" s="6" cm="1" t="str">
        <f t="array" ref="H89">IF(G89="","",SUBSTITUTE(SUBSTITUTE(SUBSTITUTE(SUBSTITUTE(SUBSTITUTE(G89,"&lt;p&gt;",""),"&lt;/p&gt;",""),"&lt;ul&gt;",""),"&lt;/ul&gt;",""),"&lt;/strong&gt;",""))</f>
        <v>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v>
      </c>
      <c r="I89" s="12" cm="1" t="str">
        <f t="array" ref="I89">IF(C89="","",IF(OR(H89="",H89=0,H89=FALSE),"-",H89))</f>
        <v>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v>
      </c>
      <c r="J89" s="6" t="s">
        <v>313</v>
      </c>
      <c r="K89" s="6" t="s">
        <v>314</v>
      </c>
      <c r="L89" s="6" cm="1" t="str">
        <f t="array" ref="L89">IF(C89="","",IF(K89="Mort / Plus rien à faire","KO","OK"))</f>
        <v>KO</v>
      </c>
      <c r="M89" s="13">
        <v>46132.61608796296</v>
      </c>
      <c r="N89" s="13" cm="1" t="n">
        <f t="array" ref="N89">IF(OR(C89="",M89="",M89=0),"",M89)</f>
        <v>46132.61608796296</v>
      </c>
      <c r="O89" s="13">
</c>
      <c r="P89" s="13" cm="1" t="str">
        <f t="array" ref="P89">IF(C89="","",IF(OR(O89="",O89=0),"-",O89))</f>
        <v>-</v>
      </c>
      <c r="Q89" s="14">
        <v>0</v>
      </c>
      <c r="R89" s="6" cm="1" t="str">
        <f t="array" ref="R89">IF(C89="","",ROUND(Q89/1000000,3)&amp;" M€")</f>
        <v>0 M€</v>
      </c>
      <c r="S89" s="15">
        <v>0</v>
      </c>
      <c r="T89" s="6" cm="1" t="str">
        <f t="array" ref="T89">IF(C89="","",SUBSTITUTE(S89,"","")&amp;"%")</f>
        <v>0%</v>
      </c>
      <c r="U89" s="12" cm="1" t="str">
        <f t="array" ref="U89">IF(($N89="")*($P89=""),"",IF(($N89&lt;&gt;"")*($N89&gt;TODAY()-9)*($N89&lt;TODAY()+1)*($P89&lt;&gt;"")*($P89&gt;=TODAY())*($P89&lt;=TODAY()+13),"Semaine passée &amp; à venir",IF(($N89&lt;&gt;"")*($N89&gt;TODAY()-9)*($N89&lt;TODAY()+1),"Semaine passée",IF(($P89&lt;&gt;"")*($P89&gt;=TODAY())*($P89&lt;=TODAY()+13),"À venir","Autre"))))</f>
        <v>Autre</v>
      </c>
      <c r="V89" s="5" cm="1" t="n">
        <f t="array" ref="V89">IF(C89&lt;&gt;"",1,0)</f>
        <v>1</v>
      </c>
      <c r="W89" s="5">
</c>
      <c r="X89" s="5">
</c>
      <c r="Y89" s="5">
</c>
      <c r="Z89" s="5">
</c>
      <c r="AA89" s="5">
</c>
      <c r="AB89" s="5">
</c>
      <c r="AC89" s="5">
</c>
      <c r="AD89" s="5">
</c>
      <c r="AE89" s="5">
</c>
      <c r="AF89" s="5">
</c>
      <c r="AG89" s="5">
</c>
      <c r="AH89" s="5">
</c>
      <c r="AI89" s="5">
</c>
      <c r="AJ89" s="5">
</c>
      <c r="AK89" s="5">
</c>
    </row>
    <row r="90" ht="65.25" customHeight="1">
      <c r="A90" s="6" t="s">
        <v>23</v>
      </c>
      <c r="B90" s="6" t="s">
        <v>43</v>
      </c>
      <c r="C90" s="11" t="s">
        <v>315</v>
      </c>
      <c r="D90" s="11" t="s">
        <v>315</v>
      </c>
      <c r="E90" s="6" t="s">
        <v>27</v>
      </c>
      <c r="F90" s="6" t="s">
        <v>316</v>
      </c>
      <c r="G90" s="6" cm="1" t="str">
        <f t="array" ref="G90">IF(F90="","",SUBSTITUTE(SUBSTITUTE(SUBSTITUTE(SUBSTITUTE(F90,"&lt;li&gt;",CHAR(10)),"&lt;/li&gt;",""),"&lt;br&gt;",CHAR(10)),"&lt;strong&gt;",""))</f>
        <v>&lt;p&gt;Prospect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étape.&lt;/p&gt;</v>
      </c>
      <c r="H90" s="6" cm="1" t="str">
        <f t="array" ref="H90">IF(G90="","",SUBSTITUTE(SUBSTITUTE(SUBSTITUTE(SUBSTITUTE(SUBSTITUTE(G90,"&lt;p&gt;",""),"&lt;/p&gt;",""),"&lt;ul&gt;",""),"&lt;/ul&gt;",""),"&lt;/strong&gt;",""))</f>
        <v>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v>
      </c>
      <c r="I90" s="12" cm="1" t="str">
        <f t="array" ref="I90">IF(C90="","",IF(OR(H90="",H90=0,H90=FALSE),"-",H90))</f>
        <v>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v>
      </c>
      <c r="J90" s="6">
</c>
      <c r="K90" s="6" t="s">
        <v>185</v>
      </c>
      <c r="L90" s="6" cm="1" t="str">
        <f t="array" ref="L90">IF(C90="","",IF(K90="Mort / Plus rien à faire","KO","OK"))</f>
        <v>OK</v>
      </c>
      <c r="M90" s="13">
        <v>46133.50263888889</v>
      </c>
      <c r="N90" s="13" cm="1" t="n">
        <f t="array" ref="N90">IF(OR(C90="",M90="",M90=0),"",M90)</f>
        <v>46133.50263888889</v>
      </c>
      <c r="O90" s="13">
</c>
      <c r="P90" s="13" cm="1" t="str">
        <f t="array" ref="P90">IF(C90="","",IF(OR(O90="",O90=0),"-",O90))</f>
        <v>-</v>
      </c>
      <c r="Q90" s="14">
        <v>0</v>
      </c>
      <c r="R90" s="6" cm="1" t="str">
        <f t="array" ref="R90">IF(C90="","",ROUND(Q90/1000000,3)&amp;" M€")</f>
        <v>0 M€</v>
      </c>
      <c r="S90" s="15">
        <v>0</v>
      </c>
      <c r="T90" s="6" cm="1" t="str">
        <f t="array" ref="T90">IF(C90="","",SUBSTITUTE(S90,"","")&amp;"%")</f>
        <v>0%</v>
      </c>
      <c r="U90" s="12" cm="1" t="str">
        <f t="array" ref="U90">IF(($N90="")*($P90=""),"",IF(($N90&lt;&gt;"")*($N90&gt;TODAY()-9)*($N90&lt;TODAY()+1)*($P90&lt;&gt;"")*($P90&gt;=TODAY())*($P90&lt;=TODAY()+13),"Semaine passée &amp; à venir",IF(($N90&lt;&gt;"")*($N90&gt;TODAY()-9)*($N90&lt;TODAY()+1),"Semaine passée",IF(($P90&lt;&gt;"")*($P90&gt;=TODAY())*($P90&lt;=TODAY()+13),"À venir","Autre"))))</f>
        <v>Autre</v>
      </c>
      <c r="V90" s="5" cm="1" t="n">
        <f t="array" ref="V90">IF(C90&lt;&gt;"",1,0)</f>
        <v>1</v>
      </c>
      <c r="W90" s="5">
</c>
      <c r="X90" s="5">
</c>
      <c r="Y90" s="5">
</c>
      <c r="Z90" s="5">
</c>
      <c r="AA90" s="5">
</c>
      <c r="AB90" s="5">
</c>
      <c r="AC90" s="5">
</c>
      <c r="AD90" s="5">
</c>
      <c r="AE90" s="5">
</c>
      <c r="AF90" s="5">
</c>
      <c r="AG90" s="5">
</c>
      <c r="AH90" s="5">
</c>
      <c r="AI90" s="5">
</c>
      <c r="AJ90" s="5">
</c>
      <c r="AK90" s="5">
</c>
    </row>
    <row r="91" ht="65.25" customHeight="1">
      <c r="A91" s="6" t="s">
        <v>23</v>
      </c>
      <c r="B91" s="6" t="s">
        <v>24</v>
      </c>
      <c r="C91" s="11" t="s">
        <v>317</v>
      </c>
      <c r="D91" s="11" t="s">
        <v>318</v>
      </c>
      <c r="E91" s="6" t="s">
        <v>53</v>
      </c>
      <c r="F91" s="6" t="s">
        <v>319</v>
      </c>
      <c r="G91" s="6" cm="1" t="str">
        <f t="array" ref="G91">IF(F91="","",SUBSTITUTE(SUBSTITUTE(SUBSTITUTE(SUBSTITUTE(F91,"&lt;li&gt;",CHAR(10)),"&lt;/li&gt;",""),"&lt;br&gt;",CHAR(10)),"&lt;strong&gt;",""))</f>
        <v>&lt;p&gt;Aucune activité ni échange significatif relevé à ce jour sur cette opportunité. Seule information : piste créée pour l'équipe Ventes. Aucun suivi, action ou retour prospect enregistré. Pas de prochaines étapes identifiées ni de conclusion sur les fonds présentés.&lt;/p&gt;</v>
      </c>
      <c r="H91" s="6" cm="1" t="str">
        <f t="array" ref="H91">IF(G91="","",SUBSTITUTE(SUBSTITUTE(SUBSTITUTE(SUBSTITUTE(SUBSTITUTE(G91,"&lt;p&gt;",""),"&lt;/p&gt;",""),"&lt;ul&gt;",""),"&lt;/ul&gt;",""),"&lt;/strong&gt;",""))</f>
        <v>Aucune activité ni échange significatif relevé à ce jour sur cette opportunité. Seule information : piste créée pour l'équipe Ventes. Aucun suivi, action ou retour prospect enregistré. Pas de prochaines étapes identifiées ni de conclusion sur les fonds présentés.</v>
      </c>
      <c r="I91" s="12" cm="1" t="str">
        <f t="array" ref="I91">IF(C91="","",IF(OR(H91="",H91=0,H91=FALSE),"-",H91))</f>
        <v>Aucune activité ni échange significatif relevé à ce jour sur cette opportunité. Seule information : piste créée pour l'équipe Ventes. Aucun suivi, action ou retour prospect enregistré. Pas de prochaines étapes identifiées ni de conclusion sur les fonds présentés.</v>
      </c>
      <c r="J91" s="6" t="s">
        <v>320</v>
      </c>
      <c r="K91" s="6" t="s">
        <v>75</v>
      </c>
      <c r="L91" s="6" cm="1" t="str">
        <f t="array" ref="L91">IF(C91="","",IF(K91="Mort / Plus rien à faire","KO","OK"))</f>
        <v>OK</v>
      </c>
      <c r="M91" s="13">
        <v>46101.4803125</v>
      </c>
      <c r="N91" s="13" cm="1" t="n">
        <f t="array" ref="N91">IF(OR(C91="",M91="",M91=0),"",M91)</f>
        <v>46101.4803125</v>
      </c>
      <c r="O91" s="13">
</c>
      <c r="P91" s="13" cm="1" t="str">
        <f t="array" ref="P91">IF(C91="","",IF(OR(O91="",O91=0),"-",O91))</f>
        <v>-</v>
      </c>
      <c r="Q91" s="14">
        <v>0</v>
      </c>
      <c r="R91" s="6" cm="1" t="str">
        <f t="array" ref="R91">IF(C91="","",ROUND(Q91/1000000,3)&amp;" M€")</f>
        <v>0 M€</v>
      </c>
      <c r="S91" s="15">
        <v>0</v>
      </c>
      <c r="T91" s="6" cm="1" t="str">
        <f t="array" ref="T91">IF(C91="","",SUBSTITUTE(S91,"","")&amp;"%")</f>
        <v>0%</v>
      </c>
      <c r="U91" s="12" cm="1" t="str">
        <f t="array" ref="U91">IF(($N91="")*($P91=""),"",IF(($N91&lt;&gt;"")*($N91&gt;TODAY()-9)*($N91&lt;TODAY()+1)*($P91&lt;&gt;"")*($P91&gt;=TODAY())*($P91&lt;=TODAY()+13),"Semaine passée &amp; à venir",IF(($N91&lt;&gt;"")*($N91&gt;TODAY()-9)*($N91&lt;TODAY()+1),"Semaine passée",IF(($P91&lt;&gt;"")*($P91&gt;=TODAY())*($P91&lt;=TODAY()+13),"À venir","Autre"))))</f>
        <v>Autre</v>
      </c>
      <c r="V91" s="5" cm="1" t="n">
        <f t="array" ref="V91">IF(C91&lt;&gt;"",1,0)</f>
        <v>1</v>
      </c>
      <c r="W91" s="5">
</c>
      <c r="X91" s="5">
</c>
      <c r="Y91" s="5">
</c>
      <c r="Z91" s="5">
</c>
      <c r="AA91" s="5">
</c>
      <c r="AB91" s="5">
</c>
      <c r="AC91" s="5">
</c>
      <c r="AD91" s="5">
</c>
      <c r="AE91" s="5">
</c>
      <c r="AF91" s="5">
</c>
      <c r="AG91" s="5">
</c>
      <c r="AH91" s="5">
</c>
      <c r="AI91" s="5">
</c>
      <c r="AJ91" s="5">
</c>
      <c r="AK91" s="5">
</c>
    </row>
    <row r="92" ht="65.25" customHeight="1">
      <c r="A92" s="6" t="s">
        <v>23</v>
      </c>
      <c r="B92" s="6" t="s">
        <v>43</v>
      </c>
      <c r="C92" s="11" t="s">
        <v>321</v>
      </c>
      <c r="D92" s="11" t="s">
        <v>321</v>
      </c>
      <c r="E92" s="6" t="s">
        <v>38</v>
      </c>
      <c r="F92" s="6" t="s">
        <v>322</v>
      </c>
      <c r="G92" s="6" cm="1" t="str">
        <f t="array" ref="G92">IF(F92="","",SUBSTITUTE(SUBSTITUTE(SUBSTITUTE(SUBSTITUTE(F92,"&lt;li&gt;",CHAR(10)),"&lt;/li&gt;",""),"&lt;br&gt;",CHAR(10)),"&lt;strong&gt;",""))</f>
        <v>&lt;p&gt;24/02/2026 : Café avec HNWI, ex-cofondateur Matis SDG, exit 1,5M€. Intérêt possible FCPI 30K€, autres tickets jugés trop élevés. Depuis, KO, prospect se concentre sur achat appartement. Dernière action : prise de news prévue pour 04/01/2027. Pas d'autres actions prévues à ce jour.&lt;/p&gt;</v>
      </c>
      <c r="H92" s="6" cm="1" t="str">
        <f t="array" ref="H92">IF(G92="","",SUBSTITUTE(SUBSTITUTE(SUBSTITUTE(SUBSTITUTE(SUBSTITUTE(G92,"&lt;p&gt;",""),"&lt;/p&gt;",""),"&lt;ul&gt;",""),"&lt;/ul&gt;",""),"&lt;/strong&gt;",""))</f>
        <v>24/02/2026 : Café avec HNWI, ex-cofondateur Matis SDG, exit 1,5M€. Intérêt possible FCPI 30K€, autres tickets jugés trop élevés. Depuis, KO, prospect se concentre sur achat appartement. Dernière action : prise de news prévue pour 04/01/2027. Pas d'autres actions prévues à ce jour.</v>
      </c>
      <c r="I92" s="12" cm="1" t="str">
        <f t="array" ref="I92">IF(C92="","",IF(OR(H92="",H92=0,H92=FALSE),"-",H92))</f>
        <v>24/02/2026 : Café avec HNWI, ex-cofondateur Matis SDG, exit 1,5M€. Intérêt possible FCPI 30K€, autres tickets jugés trop élevés. Depuis, KO, prospect se concentre sur achat appartement. Dernière action : prise de news prévue pour 04/01/2027. Pas d'autres actions prévues à ce jour.</v>
      </c>
      <c r="J92" s="6" t="s">
        <v>323</v>
      </c>
      <c r="K92" s="6" t="s">
        <v>314</v>
      </c>
      <c r="L92" s="6" cm="1" t="str">
        <f t="array" ref="L92">IF(C92="","",IF(K92="Mort / Plus rien à faire","KO","OK"))</f>
        <v>KO</v>
      </c>
      <c r="M92" s="13">
        <v>46126.52548611111</v>
      </c>
      <c r="N92" s="13" cm="1" t="n">
        <f t="array" ref="N92">IF(OR(C92="",M92="",M92=0),"",M92)</f>
        <v>46126.52548611111</v>
      </c>
      <c r="O92" s="13">
        <v>46470.041666666664</v>
      </c>
      <c r="P92" s="13" cm="1" t="n">
        <f t="array" ref="P92">IF(C92="","",IF(OR(O92="",O92=0),"-",O92))</f>
        <v>46470.041666666664</v>
      </c>
      <c r="Q92" s="14">
        <v>0</v>
      </c>
      <c r="R92" s="6" cm="1" t="str">
        <f t="array" ref="R92">IF(C92="","",ROUND(Q92/1000000,3)&amp;" M€")</f>
        <v>0 M€</v>
      </c>
      <c r="S92" s="15">
        <v>0</v>
      </c>
      <c r="T92" s="6" cm="1" t="str">
        <f t="array" ref="T92">IF(C92="","",SUBSTITUTE(S92,"","")&amp;"%")</f>
        <v>0%</v>
      </c>
      <c r="U92" s="12" cm="1" t="str">
        <f t="array" ref="U92">IF(($N92="")*($P92=""),"",IF(($N92&lt;&gt;"")*($N92&gt;TODAY()-9)*($N92&lt;TODAY()+1)*($P92&lt;&gt;"")*($P92&gt;=TODAY())*($P92&lt;=TODAY()+13),"Semaine passée &amp; à venir",IF(($N92&lt;&gt;"")*($N92&gt;TODAY()-9)*($N92&lt;TODAY()+1),"Semaine passée",IF(($P92&lt;&gt;"")*($P92&gt;=TODAY())*($P92&lt;=TODAY()+13),"À venir","Autre"))))</f>
        <v>Autre</v>
      </c>
      <c r="V92" s="5" cm="1" t="n">
        <f t="array" ref="V92">IF(C92&lt;&gt;"",1,0)</f>
        <v>1</v>
      </c>
      <c r="W92" s="5">
</c>
      <c r="X92" s="5">
</c>
      <c r="Y92" s="5">
</c>
      <c r="Z92" s="5">
</c>
      <c r="AA92" s="5">
</c>
      <c r="AB92" s="5">
</c>
      <c r="AC92" s="5">
</c>
      <c r="AD92" s="5">
</c>
      <c r="AE92" s="5">
</c>
      <c r="AF92" s="5">
</c>
      <c r="AG92" s="5">
</c>
      <c r="AH92" s="5">
</c>
      <c r="AI92" s="5">
</c>
      <c r="AJ92" s="5">
</c>
      <c r="AK92" s="5">
</c>
    </row>
    <row r="93" ht="65.25" customHeight="1">
      <c r="A93" s="6" t="s">
        <v>23</v>
      </c>
      <c r="B93" s="6" t="s">
        <v>324</v>
      </c>
      <c r="C93" s="11" t="s">
        <v>325</v>
      </c>
      <c r="D93" s="11" t="s">
        <v>326</v>
      </c>
      <c r="E93" s="6" t="s">
        <v>57</v>
      </c>
      <c r="F93" s="6" t="s">
        <v>327</v>
      </c>
      <c r="G93" s="6" cm="1" t="str">
        <f t="array" ref="G93">IF(F93="","",SUBSTITUTE(SUBSTITUTE(SUBSTITUTE(SUBSTITUTE(F93,"&lt;li&gt;",CHAR(10)),"&lt;/li&gt;",""),"&lt;br&gt;",CHAR(10)),"&lt;strong&gt;",""))</f>
        <v>&lt;p&gt;Piste créée pour équipe Ventes. Tentative d'enrichissement échouée (email invalide). Contact à effectuer par LG, déjà pitché mais pas à cette personne. Dernier retour prospect : pas d'intérêts. Pas d'autres actions ou prochaines étapes identifiées à ce jour.&lt;/p&gt;</v>
      </c>
      <c r="H93" s="6" cm="1" t="str">
        <f t="array" ref="H93">IF(G93="","",SUBSTITUTE(SUBSTITUTE(SUBSTITUTE(SUBSTITUTE(SUBSTITUTE(G93,"&lt;p&gt;",""),"&lt;/p&gt;",""),"&lt;ul&gt;",""),"&lt;/ul&gt;",""),"&lt;/strong&gt;",""))</f>
        <v>Piste créée pour équipe Ventes. Tentative d'enrichissement échouée (email invalide). Contact à effectuer par LG, déjà pitché mais pas à cette personne. Dernier retour prospect : pas d'intérêts. Pas d'autres actions ou prochaines étapes identifiées à ce jour.</v>
      </c>
      <c r="I93" s="12" cm="1" t="str">
        <f t="array" ref="I93">IF(C93="","",IF(OR(H93="",H93=0,H93=FALSE),"-",H93))</f>
        <v>Piste créée pour équipe Ventes. Tentative d'enrichissement échouée (email invalide). Contact à effectuer par LG, déjà pitché mais pas à cette personne. Dernier retour prospect : pas d'intérêts. Pas d'autres actions ou prochaines étapes identifiées à ce jour.</v>
      </c>
      <c r="J93" s="6">
</c>
      <c r="K93" s="6" t="s">
        <v>314</v>
      </c>
      <c r="L93" s="6" cm="1" t="str">
        <f t="array" ref="L93">IF(C93="","",IF(K93="Mort / Plus rien à faire","KO","OK"))</f>
        <v>KO</v>
      </c>
      <c r="M93" s="13">
        <v>46139.652141203704</v>
      </c>
      <c r="N93" s="13" cm="1" t="n">
        <f t="array" ref="N93">IF(OR(C93="",M93="",M93=0),"",M93)</f>
        <v>46139.652141203704</v>
      </c>
      <c r="O93" s="13">
</c>
      <c r="P93" s="13" cm="1" t="str">
        <f t="array" ref="P93">IF(C93="","",IF(OR(O93="",O93=0),"-",O93))</f>
        <v>-</v>
      </c>
      <c r="Q93" s="14">
        <v>0</v>
      </c>
      <c r="R93" s="6" cm="1" t="str">
        <f t="array" ref="R93">IF(C93="","",ROUND(Q93/1000000,3)&amp;" M€")</f>
        <v>0 M€</v>
      </c>
      <c r="S93" s="15">
        <v>0</v>
      </c>
      <c r="T93" s="6" cm="1" t="str">
        <f t="array" ref="T93">IF(C93="","",SUBSTITUTE(S93,"","")&amp;"%")</f>
        <v>0%</v>
      </c>
      <c r="U93" s="12" cm="1" t="str">
        <f t="array" ref="U93">IF(($N93="")*($P93=""),"",IF(($N93&lt;&gt;"")*($N93&gt;TODAY()-9)*($N93&lt;TODAY()+1)*($P93&lt;&gt;"")*($P93&gt;=TODAY())*($P93&lt;=TODAY()+13),"Semaine passée &amp; à venir",IF(($N93&lt;&gt;"")*($N93&gt;TODAY()-9)*($N93&lt;TODAY()+1),"Semaine passée",IF(($P93&lt;&gt;"")*($P93&gt;=TODAY())*($P93&lt;=TODAY()+13),"À venir","Autre"))))</f>
        <v>Autre</v>
      </c>
      <c r="V93" s="5" cm="1" t="n">
        <f t="array" ref="V93">IF(C93&lt;&gt;"",1,0)</f>
        <v>1</v>
      </c>
      <c r="W93" s="5">
</c>
      <c r="X93" s="5">
</c>
      <c r="Y93" s="5">
</c>
      <c r="Z93" s="5">
</c>
      <c r="AA93" s="5">
</c>
      <c r="AB93" s="5">
</c>
      <c r="AC93" s="5">
</c>
      <c r="AD93" s="5">
</c>
      <c r="AE93" s="5">
</c>
      <c r="AF93" s="5">
</c>
      <c r="AG93" s="5">
</c>
      <c r="AH93" s="5">
</c>
      <c r="AI93" s="5">
</c>
      <c r="AJ93" s="5">
</c>
      <c r="AK93" s="5">
</c>
    </row>
    <row r="94" ht="65.25" customHeight="1">
      <c r="A94" s="6" t="s">
        <v>23</v>
      </c>
      <c r="B94" s="6" t="s">
        <v>70</v>
      </c>
      <c r="C94" s="11" t="s">
        <v>328</v>
      </c>
      <c r="D94" s="11" t="s">
        <v>329</v>
      </c>
      <c r="E94" s="6" t="s">
        <v>53</v>
      </c>
      <c r="F94" s="6" t="s">
        <v>330</v>
      </c>
      <c r="G94" s="6" cm="1" t="str">
        <f t="array" ref="G94">IF(F94="","",SUBSTITUTE(SUBSTITUTE(SUBSTITUTE(SUBSTITUTE(F94,"&lt;li&gt;",CHAR(10)),"&lt;/li&gt;",""),"&lt;br&gt;",CHAR(10)),"&lt;strong&gt;",""))</f>
        <v>&lt;p&gt;RDV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supplémentaire.&lt;/p&gt;</v>
      </c>
      <c r="H94" s="6" cm="1" t="str">
        <f t="array" ref="H94">IF(G94="","",SUBSTITUTE(SUBSTITUTE(SUBSTITUTE(SUBSTITUTE(SUBSTITUTE(G94,"&lt;p&gt;",""),"&lt;/p&gt;",""),"&lt;ul&gt;",""),"&lt;/ul&gt;",""),"&lt;/strong&gt;",""))</f>
        <v>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v>
      </c>
      <c r="I94" s="12" cm="1" t="str">
        <f t="array" ref="I94">IF(C94="","",IF(OR(H94="",H94=0,H94=FALSE),"-",H94))</f>
        <v>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v>
      </c>
      <c r="J94" s="6">
</c>
      <c r="K94" s="6" t="s">
        <v>314</v>
      </c>
      <c r="L94" s="6" cm="1" t="str">
        <f t="array" ref="L94">IF(C94="","",IF(K94="Mort / Plus rien à faire","KO","OK"))</f>
        <v>KO</v>
      </c>
      <c r="M94" s="13">
        <v>46132.61423611111</v>
      </c>
      <c r="N94" s="13" cm="1" t="n">
        <f t="array" ref="N94">IF(OR(C94="",M94="",M94=0),"",M94)</f>
        <v>46132.61423611111</v>
      </c>
      <c r="O94" s="13">
</c>
      <c r="P94" s="13" cm="1" t="str">
        <f t="array" ref="P94">IF(C94="","",IF(OR(O94="",O94=0),"-",O94))</f>
        <v>-</v>
      </c>
      <c r="Q94" s="14">
        <v>0</v>
      </c>
      <c r="R94" s="6" cm="1" t="str">
        <f t="array" ref="R94">IF(C94="","",ROUND(Q94/1000000,3)&amp;" M€")</f>
        <v>0 M€</v>
      </c>
      <c r="S94" s="15">
        <v>0</v>
      </c>
      <c r="T94" s="6" cm="1" t="str">
        <f t="array" ref="T94">IF(C94="","",SUBSTITUTE(S94,"","")&amp;"%")</f>
        <v>0%</v>
      </c>
      <c r="U94" s="12" cm="1" t="str">
        <f t="array" ref="U94">IF(($N94="")*($P94=""),"",IF(($N94&lt;&gt;"")*($N94&gt;TODAY()-9)*($N94&lt;TODAY()+1)*($P94&lt;&gt;"")*($P94&gt;=TODAY())*($P94&lt;=TODAY()+13),"Semaine passée &amp; à venir",IF(($N94&lt;&gt;"")*($N94&gt;TODAY()-9)*($N94&lt;TODAY()+1),"Semaine passée",IF(($P94&lt;&gt;"")*($P94&gt;=TODAY())*($P94&lt;=TODAY()+13),"À venir","Autre"))))</f>
        <v>Autre</v>
      </c>
      <c r="V94" s="5" cm="1" t="n">
        <f t="array" ref="V94">IF(C94&lt;&gt;"",1,0)</f>
        <v>1</v>
      </c>
      <c r="W94" s="5">
</c>
      <c r="X94" s="5">
</c>
      <c r="Y94" s="5">
</c>
      <c r="Z94" s="5">
</c>
      <c r="AA94" s="5">
</c>
      <c r="AB94" s="5">
</c>
      <c r="AC94" s="5">
</c>
      <c r="AD94" s="5">
</c>
      <c r="AE94" s="5">
</c>
      <c r="AF94" s="5">
</c>
      <c r="AG94" s="5">
</c>
      <c r="AH94" s="5">
</c>
      <c r="AI94" s="5">
</c>
      <c r="AJ94" s="5">
</c>
      <c r="AK94" s="5">
</c>
    </row>
    <row r="95" ht="65.25" customHeight="1">
      <c r="A95" s="6">
</c>
      <c r="B95" s="6">
</c>
      <c r="C95" s="11">
</c>
      <c r="D95" s="11">
</c>
      <c r="E95" s="6">
</c>
      <c r="F95" s="6">
</c>
      <c r="G95" s="6" cm="1" t="str">
        <f t="array" ref="G95">IF(F95="","",SUBSTITUTE(SUBSTITUTE(SUBSTITUTE(SUBSTITUTE(F95,"&lt;li&gt;",CHAR(10)),"&lt;/li&gt;",""),"&lt;br&gt;",CHAR(10)),"&lt;strong&gt;",""))</f>
        <v/>
      </c>
      <c r="H95" s="6" cm="1" t="str">
        <f t="array" ref="H95">IF(G95="","",SUBSTITUTE(SUBSTITUTE(SUBSTITUTE(SUBSTITUTE(SUBSTITUTE(G95,"&lt;p&gt;",""),"&lt;/p&gt;",""),"&lt;ul&gt;",""),"&lt;/ul&gt;",""),"&lt;/strong&gt;",""))</f>
        <v/>
      </c>
      <c r="I95" s="12" cm="1" t="str">
        <f t="array" ref="I95">IF(C95="","",IF(OR(H95="",H95=0,H95=FALSE),"-",H95))</f>
        <v/>
      </c>
      <c r="J95" s="6">
</c>
      <c r="K95" s="6">
</c>
      <c r="L95" s="6" cm="1" t="str">
        <f t="array" ref="L95">IF(C95="","",IF(K95="Mort / Plus rien à faire","KO","OK"))</f>
        <v/>
      </c>
      <c r="M95" s="13">
</c>
      <c r="N95" s="13" cm="1" t="str">
        <f t="array" ref="N95">IF(OR(C95="",M95="",M95=0),"",M95)</f>
        <v/>
      </c>
      <c r="O95" s="13">
</c>
      <c r="P95" s="13" cm="1" t="str">
        <f t="array" ref="P95">IF(C95="","",IF(OR(O95="",O95=0),"-",O95))</f>
        <v/>
      </c>
      <c r="Q95" s="14">
</c>
      <c r="R95" s="6" cm="1" t="str">
        <f t="array" ref="R95">IF(C95="","",ROUND(Q95/1000000,3)&amp;" M€")</f>
        <v/>
      </c>
      <c r="S95" s="15">
</c>
      <c r="T95" s="6" cm="1" t="str">
        <f t="array" ref="T95">IF(C95="","",SUBSTITUTE(S95,"","")&amp;"%")</f>
        <v/>
      </c>
      <c r="U95" s="12" cm="1" t="str">
        <f t="array" ref="U95">IF(($N95="")*($P95=""),"",IF(($N95&lt;&gt;"")*($N95&gt;TODAY()-9)*($N95&lt;TODAY()+1)*($P95&lt;&gt;"")*($P95&gt;=TODAY())*($P95&lt;=TODAY()+13),"Semaine passée &amp; à venir",IF(($N95&lt;&gt;"")*($N95&gt;TODAY()-9)*($N95&lt;TODAY()+1),"Semaine passée",IF(($P95&lt;&gt;"")*($P95&gt;=TODAY())*($P95&lt;=TODAY()+13),"À venir","Autre"))))</f>
        <v/>
      </c>
      <c r="V95" s="5" cm="1" t="n">
        <f t="array" ref="V95">IF(C95&lt;&gt;"",1,0)</f>
        <v>0</v>
      </c>
      <c r="W95" s="5">
</c>
      <c r="X95" s="5">
</c>
      <c r="Y95" s="5">
</c>
      <c r="Z95" s="5">
</c>
      <c r="AA95" s="5">
</c>
      <c r="AB95" s="5">
</c>
      <c r="AC95" s="5">
</c>
      <c r="AD95" s="5">
</c>
      <c r="AE95" s="5">
</c>
      <c r="AF95" s="5">
</c>
      <c r="AG95" s="5">
</c>
      <c r="AH95" s="5">
</c>
      <c r="AI95" s="5">
</c>
      <c r="AJ95" s="5">
</c>
      <c r="AK95" s="5">
</c>
    </row>
    <row r="96" ht="65.25" customHeight="1">
      <c r="A96" s="6">
</c>
      <c r="B96" s="6">
</c>
      <c r="C96" s="11">
</c>
      <c r="D96" s="11">
</c>
      <c r="E96" s="6">
</c>
      <c r="F96" s="6">
</c>
      <c r="G96" s="6" cm="1" t="str">
        <f t="array" ref="G96">IF(F96="","",SUBSTITUTE(SUBSTITUTE(SUBSTITUTE(SUBSTITUTE(F96,"&lt;li&gt;",CHAR(10)),"&lt;/li&gt;",""),"&lt;br&gt;",CHAR(10)),"&lt;strong&gt;",""))</f>
        <v/>
      </c>
      <c r="H96" s="6" cm="1" t="str">
        <f t="array" ref="H96">IF(G96="","",SUBSTITUTE(SUBSTITUTE(SUBSTITUTE(SUBSTITUTE(SUBSTITUTE(G96,"&lt;p&gt;",""),"&lt;/p&gt;",""),"&lt;ul&gt;",""),"&lt;/ul&gt;",""),"&lt;/strong&gt;",""))</f>
        <v/>
      </c>
      <c r="I96" s="12" cm="1" t="str">
        <f t="array" ref="I96">IF(C96="","",IF(OR(H96="",H96=0,H96=FALSE),"-",H96))</f>
        <v/>
      </c>
      <c r="J96" s="6">
</c>
      <c r="K96" s="6">
</c>
      <c r="L96" s="6" cm="1" t="str">
        <f t="array" ref="L96">IF(C96="","",IF(K96="Mort / Plus rien à faire","KO","OK"))</f>
        <v/>
      </c>
      <c r="M96" s="13">
</c>
      <c r="N96" s="13" cm="1" t="str">
        <f t="array" ref="N96">IF(OR(C96="",M96="",M96=0),"",M96)</f>
        <v/>
      </c>
      <c r="O96" s="13">
</c>
      <c r="P96" s="13" cm="1" t="str">
        <f t="array" ref="P96">IF(C96="","",IF(OR(O96="",O96=0),"-",O96))</f>
        <v/>
      </c>
      <c r="Q96" s="14">
</c>
      <c r="R96" s="6" cm="1" t="str">
        <f t="array" ref="R96">IF(C96="","",ROUND(Q96/1000000,3)&amp;" M€")</f>
        <v/>
      </c>
      <c r="S96" s="15">
</c>
      <c r="T96" s="6" cm="1" t="str">
        <f t="array" ref="T96">IF(C96="","",SUBSTITUTE(S96,"","")&amp;"%")</f>
        <v/>
      </c>
      <c r="U96" s="12" cm="1" t="str">
        <f t="array" ref="U96">IF(($N96="")*($P96=""),"",IF(($N96&lt;&gt;"")*($N96&gt;TODAY()-9)*($N96&lt;TODAY()+1)*($P96&lt;&gt;"")*($P96&gt;=TODAY())*($P96&lt;=TODAY()+13),"Semaine passée &amp; à venir",IF(($N96&lt;&gt;"")*($N96&gt;TODAY()-9)*($N96&lt;TODAY()+1),"Semaine passée",IF(($P96&lt;&gt;"")*($P96&gt;=TODAY())*($P96&lt;=TODAY()+13),"À venir","Autre"))))</f>
        <v/>
      </c>
      <c r="V96" s="5" cm="1" t="n">
        <f t="array" ref="V96">IF(C96&lt;&gt;"",1,0)</f>
        <v>0</v>
      </c>
      <c r="W96" s="5">
</c>
      <c r="X96" s="5">
</c>
      <c r="Y96" s="5">
</c>
      <c r="Z96" s="5">
</c>
      <c r="AA96" s="5">
</c>
      <c r="AB96" s="5">
</c>
      <c r="AC96" s="5">
</c>
      <c r="AD96" s="5">
</c>
      <c r="AE96" s="5">
</c>
      <c r="AF96" s="5">
</c>
      <c r="AG96" s="5">
</c>
      <c r="AH96" s="5">
</c>
      <c r="AI96" s="5">
</c>
      <c r="AJ96" s="5">
</c>
      <c r="AK96" s="5">
</c>
    </row>
    <row r="97" ht="65.25" customHeight="1">
      <c r="A97" s="6">
</c>
      <c r="B97" s="6">
</c>
      <c r="C97" s="11">
</c>
      <c r="D97" s="11">
</c>
      <c r="E97" s="6">
</c>
      <c r="F97" s="6">
</c>
      <c r="G97" s="6" cm="1" t="str">
        <f t="array" ref="G97">IF(F97="","",SUBSTITUTE(SUBSTITUTE(SUBSTITUTE(SUBSTITUTE(F97,"&lt;li&gt;",CHAR(10)),"&lt;/li&gt;",""),"&lt;br&gt;",CHAR(10)),"&lt;strong&gt;",""))</f>
        <v/>
      </c>
      <c r="H97" s="6" cm="1" t="str">
        <f t="array" ref="H97">IF(G97="","",SUBSTITUTE(SUBSTITUTE(SUBSTITUTE(SUBSTITUTE(SUBSTITUTE(G97,"&lt;p&gt;",""),"&lt;/p&gt;",""),"&lt;ul&gt;",""),"&lt;/ul&gt;",""),"&lt;/strong&gt;",""))</f>
        <v/>
      </c>
      <c r="I97" s="12" cm="1" t="str">
        <f t="array" ref="I97">IF(C97="","",IF(OR(H97="",H97=0,H97=FALSE),"-",H97))</f>
        <v/>
      </c>
      <c r="J97" s="6">
</c>
      <c r="K97" s="6">
</c>
      <c r="L97" s="6" cm="1" t="str">
        <f t="array" ref="L97">IF(C97="","",IF(K97="Mort / Plus rien à faire","KO","OK"))</f>
        <v/>
      </c>
      <c r="M97" s="13">
</c>
      <c r="N97" s="13" cm="1" t="str">
        <f t="array" ref="N97">IF(OR(C97="",M97="",M97=0),"",M97)</f>
        <v/>
      </c>
      <c r="O97" s="13">
</c>
      <c r="P97" s="13" cm="1" t="str">
        <f t="array" ref="P97">IF(C97="","",IF(OR(O97="",O97=0),"-",O97))</f>
        <v/>
      </c>
      <c r="Q97" s="14">
</c>
      <c r="R97" s="6" cm="1" t="str">
        <f t="array" ref="R97">IF(C97="","",ROUND(Q97/1000000,3)&amp;" M€")</f>
        <v/>
      </c>
      <c r="S97" s="15">
</c>
      <c r="T97" s="6" cm="1" t="str">
        <f t="array" ref="T97">IF(C97="","",SUBSTITUTE(S97,"","")&amp;"%")</f>
        <v/>
      </c>
      <c r="U97" s="12" cm="1" t="str">
        <f t="array" ref="U97">IF(($N97="")*($P97=""),"",IF(($N97&lt;&gt;"")*($N97&gt;TODAY()-9)*($N97&lt;TODAY()+1)*($P97&lt;&gt;"")*($P97&gt;=TODAY())*($P97&lt;=TODAY()+13),"Semaine passée &amp; à venir",IF(($N97&lt;&gt;"")*($N97&gt;TODAY()-9)*($N97&lt;TODAY()+1),"Semaine passée",IF(($P97&lt;&gt;"")*($P97&gt;=TODAY())*($P97&lt;=TODAY()+13),"À venir","Autre"))))</f>
        <v/>
      </c>
      <c r="V97" s="5" cm="1" t="n">
        <f t="array" ref="V97">IF(C97&lt;&gt;"",1,0)</f>
        <v>0</v>
      </c>
      <c r="W97" s="5">
</c>
      <c r="X97" s="5">
</c>
      <c r="Y97" s="5">
</c>
      <c r="Z97" s="5">
</c>
      <c r="AA97" s="5">
</c>
      <c r="AB97" s="5">
</c>
      <c r="AC97" s="5">
</c>
      <c r="AD97" s="5">
</c>
      <c r="AE97" s="5">
</c>
      <c r="AF97" s="5">
</c>
      <c r="AG97" s="5">
</c>
      <c r="AH97" s="5">
</c>
      <c r="AI97" s="5">
</c>
      <c r="AJ97" s="5">
</c>
      <c r="AK97" s="5">
</c>
    </row>
    <row r="98" ht="65.25" customHeight="1">
      <c r="A98" s="6">
</c>
      <c r="B98" s="6">
</c>
      <c r="C98" s="11">
</c>
      <c r="D98" s="11">
</c>
      <c r="E98" s="6">
</c>
      <c r="F98" s="6">
</c>
      <c r="G98" s="6" cm="1" t="str">
        <f t="array" ref="G98">IF(F98="","",SUBSTITUTE(SUBSTITUTE(SUBSTITUTE(SUBSTITUTE(F98,"&lt;li&gt;",CHAR(10)),"&lt;/li&gt;",""),"&lt;br&gt;",CHAR(10)),"&lt;strong&gt;",""))</f>
        <v/>
      </c>
      <c r="H98" s="6" cm="1" t="str">
        <f t="array" ref="H98">IF(G98="","",SUBSTITUTE(SUBSTITUTE(SUBSTITUTE(SUBSTITUTE(SUBSTITUTE(G98,"&lt;p&gt;",""),"&lt;/p&gt;",""),"&lt;ul&gt;",""),"&lt;/ul&gt;",""),"&lt;/strong&gt;",""))</f>
        <v/>
      </c>
      <c r="I98" s="12" cm="1" t="str">
        <f t="array" ref="I98">IF(C98="","",IF(OR(H98="",H98=0,H98=FALSE),"-",H98))</f>
        <v/>
      </c>
      <c r="J98" s="6">
</c>
      <c r="K98" s="6">
</c>
      <c r="L98" s="6" cm="1" t="str">
        <f t="array" ref="L98">IF(C98="","",IF(K98="Mort / Plus rien à faire","KO","OK"))</f>
        <v/>
      </c>
      <c r="M98" s="13">
</c>
      <c r="N98" s="13" cm="1" t="str">
        <f t="array" ref="N98">IF(OR(C98="",M98="",M98=0),"",M98)</f>
        <v/>
      </c>
      <c r="O98" s="13">
</c>
      <c r="P98" s="13" cm="1" t="str">
        <f t="array" ref="P98">IF(C98="","",IF(OR(O98="",O98=0),"-",O98))</f>
        <v/>
      </c>
      <c r="Q98" s="14">
</c>
      <c r="R98" s="6" cm="1" t="str">
        <f t="array" ref="R98">IF(C98="","",ROUND(Q98/1000000,3)&amp;" M€")</f>
        <v/>
      </c>
      <c r="S98" s="15">
</c>
      <c r="T98" s="6" cm="1" t="str">
        <f t="array" ref="T98">IF(C98="","",SUBSTITUTE(S98,"","")&amp;"%")</f>
        <v/>
      </c>
      <c r="U98" s="12" cm="1" t="str">
        <f t="array" ref="U98">IF(($N98="")*($P98=""),"",IF(($N98&lt;&gt;"")*($N98&gt;TODAY()-9)*($N98&lt;TODAY()+1)*($P98&lt;&gt;"")*($P98&gt;=TODAY())*($P98&lt;=TODAY()+13),"Semaine passée &amp; à venir",IF(($N98&lt;&gt;"")*($N98&gt;TODAY()-9)*($N98&lt;TODAY()+1),"Semaine passée",IF(($P98&lt;&gt;"")*($P98&gt;=TODAY())*($P98&lt;=TODAY()+13),"À venir","Autre"))))</f>
        <v/>
      </c>
      <c r="V98" s="5" cm="1" t="n">
        <f t="array" ref="V98">IF(C98&lt;&gt;"",1,0)</f>
        <v>0</v>
      </c>
      <c r="W98" s="5">
</c>
      <c r="X98" s="5">
</c>
      <c r="Y98" s="5">
</c>
      <c r="Z98" s="5">
</c>
      <c r="AA98" s="5">
</c>
      <c r="AB98" s="5">
</c>
      <c r="AC98" s="5">
</c>
      <c r="AD98" s="5">
</c>
      <c r="AE98" s="5">
</c>
      <c r="AF98" s="5">
</c>
      <c r="AG98" s="5">
</c>
      <c r="AH98" s="5">
</c>
      <c r="AI98" s="5">
</c>
      <c r="AJ98" s="5">
</c>
      <c r="AK98" s="5">
</c>
    </row>
    <row r="99" ht="65.25" customHeight="1">
      <c r="A99" s="6">
</c>
      <c r="B99" s="6">
</c>
      <c r="C99" s="11">
</c>
      <c r="D99" s="11">
</c>
      <c r="E99" s="6">
</c>
      <c r="F99" s="6">
</c>
      <c r="G99" s="6" cm="1" t="str">
        <f t="array" ref="G99">IF(F99="","",SUBSTITUTE(SUBSTITUTE(SUBSTITUTE(SUBSTITUTE(F99,"&lt;li&gt;",CHAR(10)),"&lt;/li&gt;",""),"&lt;br&gt;",CHAR(10)),"&lt;strong&gt;",""))</f>
        <v/>
      </c>
      <c r="H99" s="6" cm="1" t="str">
        <f t="array" ref="H99">IF(G99="","",SUBSTITUTE(SUBSTITUTE(SUBSTITUTE(SUBSTITUTE(SUBSTITUTE(G99,"&lt;p&gt;",""),"&lt;/p&gt;",""),"&lt;ul&gt;",""),"&lt;/ul&gt;",""),"&lt;/strong&gt;",""))</f>
        <v/>
      </c>
      <c r="I99" s="12" cm="1" t="str">
        <f t="array" ref="I99">IF(C99="","",IF(OR(H99="",H99=0,H99=FALSE),"-",H99))</f>
        <v/>
      </c>
      <c r="J99" s="6">
</c>
      <c r="K99" s="6">
</c>
      <c r="L99" s="6" cm="1" t="str">
        <f t="array" ref="L99">IF(C99="","",IF(K99="Mort / Plus rien à faire","KO","OK"))</f>
        <v/>
      </c>
      <c r="M99" s="13">
</c>
      <c r="N99" s="13" cm="1" t="str">
        <f t="array" ref="N99">IF(OR(C99="",M99="",M99=0),"",M99)</f>
        <v/>
      </c>
      <c r="O99" s="13">
</c>
      <c r="P99" s="13" cm="1" t="str">
        <f t="array" ref="P99">IF(C99="","",IF(OR(O99="",O99=0),"-",O99))</f>
        <v/>
      </c>
      <c r="Q99" s="14">
</c>
      <c r="R99" s="6" cm="1" t="str">
        <f t="array" ref="R99">IF(C99="","",ROUND(Q99/1000000,3)&amp;" M€")</f>
        <v/>
      </c>
      <c r="S99" s="15">
</c>
      <c r="T99" s="6" cm="1" t="str">
        <f t="array" ref="T99">IF(C99="","",SUBSTITUTE(S99,"","")&amp;"%")</f>
        <v/>
      </c>
      <c r="U99" s="12" cm="1" t="str">
        <f t="array" ref="U99">IF(($N99="")*($P99=""),"",IF(($N99&lt;&gt;"")*($N99&gt;TODAY()-9)*($N99&lt;TODAY()+1)*($P99&lt;&gt;"")*($P99&gt;=TODAY())*($P99&lt;=TODAY()+13),"Semaine passée &amp; à venir",IF(($N99&lt;&gt;"")*($N99&gt;TODAY()-9)*($N99&lt;TODAY()+1),"Semaine passée",IF(($P99&lt;&gt;"")*($P99&gt;=TODAY())*($P99&lt;=TODAY()+13),"À venir","Autre"))))</f>
        <v/>
      </c>
      <c r="V99" s="5" cm="1" t="n">
        <f t="array" ref="V99">IF(C99&lt;&gt;"",1,0)</f>
        <v>0</v>
      </c>
      <c r="W99" s="5">
</c>
      <c r="X99" s="5">
</c>
      <c r="Y99" s="5">
</c>
      <c r="Z99" s="5">
</c>
      <c r="AA99" s="5">
</c>
      <c r="AB99" s="5">
</c>
      <c r="AC99" s="5">
</c>
      <c r="AD99" s="5">
</c>
      <c r="AE99" s="5">
</c>
      <c r="AF99" s="5">
</c>
      <c r="AG99" s="5">
</c>
      <c r="AH99" s="5">
</c>
      <c r="AI99" s="5">
</c>
      <c r="AJ99" s="5">
</c>
      <c r="AK99" s="5">
</c>
    </row>
    <row r="100" ht="65.25" customHeight="1">
      <c r="A100" s="6">
</c>
      <c r="B100" s="6">
</c>
      <c r="C100" s="11">
</c>
      <c r="D100" s="11">
</c>
      <c r="E100" s="6">
</c>
      <c r="F100" s="6">
</c>
      <c r="G100" s="6" cm="1" t="str">
        <f t="array" ref="G100">IF(F100="","",SUBSTITUTE(SUBSTITUTE(SUBSTITUTE(SUBSTITUTE(F100,"&lt;li&gt;",CHAR(10)),"&lt;/li&gt;",""),"&lt;br&gt;",CHAR(10)),"&lt;strong&gt;",""))</f>
        <v/>
      </c>
      <c r="H100" s="6" cm="1" t="str">
        <f t="array" ref="H100">IF(G100="","",SUBSTITUTE(SUBSTITUTE(SUBSTITUTE(SUBSTITUTE(SUBSTITUTE(G100,"&lt;p&gt;",""),"&lt;/p&gt;",""),"&lt;ul&gt;",""),"&lt;/ul&gt;",""),"&lt;/strong&gt;",""))</f>
        <v/>
      </c>
      <c r="I100" s="12" cm="1" t="str">
        <f t="array" ref="I100">IF(C100="","",IF(OR(H100="",H100=0,H100=FALSE),"-",H100))</f>
        <v/>
      </c>
      <c r="J100" s="6">
</c>
      <c r="K100" s="6">
</c>
      <c r="L100" s="6" cm="1" t="str">
        <f t="array" ref="L100">IF(C100="","",IF(K100="Mort / Plus rien à faire","KO","OK"))</f>
        <v/>
      </c>
      <c r="M100" s="13">
</c>
      <c r="N100" s="13" cm="1" t="str">
        <f t="array" ref="N100">IF(OR(C100="",M100="",M100=0),"",M100)</f>
        <v/>
      </c>
      <c r="O100" s="13">
</c>
      <c r="P100" s="13" cm="1" t="str">
        <f t="array" ref="P100">IF(C100="","",IF(OR(O100="",O100=0),"-",O100))</f>
        <v/>
      </c>
      <c r="Q100" s="14">
</c>
      <c r="R100" s="6" cm="1" t="str">
        <f t="array" ref="R100">IF(C100="","",ROUND(Q100/1000000,3)&amp;" M€")</f>
        <v/>
      </c>
      <c r="S100" s="15">
</c>
      <c r="T100" s="6" cm="1" t="str">
        <f t="array" ref="T100">IF(C100="","",SUBSTITUTE(S100,"","")&amp;"%")</f>
        <v/>
      </c>
      <c r="U100" s="12" cm="1" t="str">
        <f t="array" ref="U100">IF(($N100="")*($P100=""),"",IF(($N100&lt;&gt;"")*($N100&gt;TODAY()-9)*($N100&lt;TODAY()+1)*($P100&lt;&gt;"")*($P100&gt;=TODAY())*($P100&lt;=TODAY()+13),"Semaine passée &amp; à venir",IF(($N100&lt;&gt;"")*($N100&gt;TODAY()-9)*($N100&lt;TODAY()+1),"Semaine passée",IF(($P100&lt;&gt;"")*($P100&gt;=TODAY())*($P100&lt;=TODAY()+13),"À venir","Autre"))))</f>
        <v/>
      </c>
      <c r="V100" s="5" cm="1" t="n">
        <f t="array" ref="V100">IF(C100&lt;&gt;"",1,0)</f>
        <v>0</v>
      </c>
      <c r="W100" s="5">
</c>
      <c r="X100" s="5">
</c>
      <c r="Y100" s="5">
</c>
      <c r="Z100" s="5">
</c>
      <c r="AA100" s="5">
</c>
      <c r="AB100" s="5">
</c>
      <c r="AC100" s="5">
</c>
      <c r="AD100" s="5">
</c>
      <c r="AE100" s="5">
</c>
      <c r="AF100" s="5">
</c>
      <c r="AG100" s="5">
</c>
      <c r="AH100" s="5">
</c>
      <c r="AI100" s="5">
</c>
      <c r="AJ100" s="5">
</c>
      <c r="AK100" s="5">
</c>
    </row>
    <row r="101" ht="65.25" customHeight="1">
      <c r="A101" s="6">
</c>
      <c r="B101" s="6">
</c>
      <c r="C101" s="11">
</c>
      <c r="D101" s="11">
</c>
      <c r="E101" s="6">
</c>
      <c r="F101" s="6">
</c>
      <c r="G101" s="6" cm="1" t="str">
        <f t="array" ref="G101">IF(F101="","",SUBSTITUTE(SUBSTITUTE(SUBSTITUTE(SUBSTITUTE(F101,"&lt;li&gt;",CHAR(10)),"&lt;/li&gt;",""),"&lt;br&gt;",CHAR(10)),"&lt;strong&gt;",""))</f>
        <v/>
      </c>
      <c r="H101" s="6" cm="1" t="str">
        <f t="array" ref="H101">IF(G101="","",SUBSTITUTE(SUBSTITUTE(SUBSTITUTE(SUBSTITUTE(SUBSTITUTE(G101,"&lt;p&gt;",""),"&lt;/p&gt;",""),"&lt;ul&gt;",""),"&lt;/ul&gt;",""),"&lt;/strong&gt;",""))</f>
        <v/>
      </c>
      <c r="I101" s="12" cm="1" t="str">
        <f t="array" ref="I101">IF(C101="","",IF(OR(H101="",H101=0,H101=FALSE),"-",H101))</f>
        <v/>
      </c>
      <c r="J101" s="6">
</c>
      <c r="K101" s="6">
</c>
      <c r="L101" s="6" cm="1" t="str">
        <f t="array" ref="L101">IF(C101="","",IF(K101="Mort / Plus rien à faire","KO","OK"))</f>
        <v/>
      </c>
      <c r="M101" s="13">
</c>
      <c r="N101" s="13" cm="1" t="str">
        <f t="array" ref="N101">IF(OR(C101="",M101="",M101=0),"",M101)</f>
        <v/>
      </c>
      <c r="O101" s="13">
</c>
      <c r="P101" s="13" cm="1" t="str">
        <f t="array" ref="P101">IF(C101="","",IF(OR(O101="",O101=0),"-",O101))</f>
        <v/>
      </c>
      <c r="Q101" s="14">
</c>
      <c r="R101" s="6" cm="1" t="str">
        <f t="array" ref="R101">IF(C101="","",ROUND(Q101/1000000,3)&amp;" M€")</f>
        <v/>
      </c>
      <c r="S101" s="15">
</c>
      <c r="T101" s="6" cm="1" t="str">
        <f t="array" ref="T101">IF(C101="","",SUBSTITUTE(S101,"","")&amp;"%")</f>
        <v/>
      </c>
      <c r="U101" s="12" cm="1" t="str">
        <f t="array" ref="U101">IF(($N101="")*($P101=""),"",IF(($N101&lt;&gt;"")*($N101&gt;TODAY()-9)*($N101&lt;TODAY()+1)*($P101&lt;&gt;"")*($P101&gt;=TODAY())*($P101&lt;=TODAY()+13),"Semaine passée &amp; à venir",IF(($N101&lt;&gt;"")*($N101&gt;TODAY()-9)*($N101&lt;TODAY()+1),"Semaine passée",IF(($P101&lt;&gt;"")*($P101&gt;=TODAY())*($P101&lt;=TODAY()+13),"À venir","Autre"))))</f>
        <v/>
      </c>
      <c r="V101" s="5" cm="1" t="n">
        <f t="array" ref="V101">IF(C101&lt;&gt;"",1,0)</f>
        <v>0</v>
      </c>
      <c r="W101" s="5">
</c>
      <c r="X101" s="5">
</c>
      <c r="Y101" s="5">
</c>
      <c r="Z101" s="5">
</c>
      <c r="AA101" s="5">
</c>
      <c r="AB101" s="5">
</c>
      <c r="AC101" s="5">
</c>
      <c r="AD101" s="5">
</c>
      <c r="AE101" s="5">
</c>
      <c r="AF101" s="5">
</c>
      <c r="AG101" s="5">
</c>
      <c r="AH101" s="5">
</c>
      <c r="AI101" s="5">
</c>
      <c r="AJ101" s="5">
</c>
      <c r="AK101" s="5">
</c>
    </row>
    <row r="102" ht="65.25" customHeight="1">
      <c r="A102" s="6">
</c>
      <c r="B102" s="6">
</c>
      <c r="C102" s="11">
</c>
      <c r="D102" s="11">
</c>
      <c r="E102" s="6">
</c>
      <c r="F102" s="6">
</c>
      <c r="G102" s="6" cm="1" t="str">
        <f t="array" ref="G102">IF(F102="","",SUBSTITUTE(SUBSTITUTE(SUBSTITUTE(SUBSTITUTE(F102,"&lt;li&gt;",CHAR(10)),"&lt;/li&gt;",""),"&lt;br&gt;",CHAR(10)),"&lt;strong&gt;",""))</f>
        <v/>
      </c>
      <c r="H102" s="6" cm="1" t="str">
        <f t="array" ref="H102">IF(G102="","",SUBSTITUTE(SUBSTITUTE(SUBSTITUTE(SUBSTITUTE(SUBSTITUTE(G102,"&lt;p&gt;",""),"&lt;/p&gt;",""),"&lt;ul&gt;",""),"&lt;/ul&gt;",""),"&lt;/strong&gt;",""))</f>
        <v/>
      </c>
      <c r="I102" s="12" cm="1" t="str">
        <f t="array" ref="I102">IF(C102="","",IF(OR(H102="",H102=0,H102=FALSE),"-",H102))</f>
        <v/>
      </c>
      <c r="J102" s="6">
</c>
      <c r="K102" s="6">
</c>
      <c r="L102" s="6" cm="1" t="str">
        <f t="array" ref="L102">IF(C102="","",IF(K102="Mort / Plus rien à faire","KO","OK"))</f>
        <v/>
      </c>
      <c r="M102" s="13">
</c>
      <c r="N102" s="13" cm="1" t="str">
        <f t="array" ref="N102">IF(OR(C102="",M102="",M102=0),"",M102)</f>
        <v/>
      </c>
      <c r="O102" s="13">
</c>
      <c r="P102" s="13" cm="1" t="str">
        <f t="array" ref="P102">IF(C102="","",IF(OR(O102="",O102=0),"-",O102))</f>
        <v/>
      </c>
      <c r="Q102" s="14">
</c>
      <c r="R102" s="6" cm="1" t="str">
        <f t="array" ref="R102">IF(C102="","",ROUND(Q102/1000000,3)&amp;" M€")</f>
        <v/>
      </c>
      <c r="S102" s="15">
</c>
      <c r="T102" s="6" cm="1" t="str">
        <f t="array" ref="T102">IF(C102="","",SUBSTITUTE(S102,"","")&amp;"%")</f>
        <v/>
      </c>
      <c r="U102" s="12" cm="1" t="str">
        <f t="array" ref="U102">IF(($N102="")*($P102=""),"",IF(($N102&lt;&gt;"")*($N102&gt;TODAY()-9)*($N102&lt;TODAY()+1)*($P102&lt;&gt;"")*($P102&gt;=TODAY())*($P102&lt;=TODAY()+13),"Semaine passée &amp; à venir",IF(($N102&lt;&gt;"")*($N102&gt;TODAY()-9)*($N102&lt;TODAY()+1),"Semaine passée",IF(($P102&lt;&gt;"")*($P102&gt;=TODAY())*($P102&lt;=TODAY()+13),"À venir","Autre"))))</f>
        <v/>
      </c>
      <c r="V102" s="5" cm="1" t="n">
        <f t="array" ref="V102">IF(C102&lt;&gt;"",1,0)</f>
        <v>0</v>
      </c>
      <c r="W102" s="5">
</c>
      <c r="X102" s="5">
</c>
      <c r="Y102" s="5">
</c>
      <c r="Z102" s="5">
</c>
      <c r="AA102" s="5">
</c>
      <c r="AB102" s="5">
</c>
      <c r="AC102" s="5">
</c>
      <c r="AD102" s="5">
</c>
      <c r="AE102" s="5">
</c>
      <c r="AF102" s="5">
</c>
      <c r="AG102" s="5">
</c>
      <c r="AH102" s="5">
</c>
      <c r="AI102" s="5">
</c>
      <c r="AJ102" s="5">
</c>
      <c r="AK102" s="5">
</c>
    </row>
    <row r="103" ht="65.25" customHeight="1">
      <c r="A103">
</c>
      <c r="B103">
</c>
      <c r="C103" s="16">
</c>
      <c r="D103" s="16">
</c>
      <c r="E103">
</c>
      <c r="F103">
</c>
      <c r="G103" s="6" cm="1" t="str">
        <f t="array" ref="G103">IF(F103="","",SUBSTITUTE(SUBSTITUTE(SUBSTITUTE(SUBSTITUTE(F103,"&lt;li&gt;",CHAR(10)),"&lt;/li&gt;",""),"&lt;br&gt;",CHAR(10)),"&lt;strong&gt;",""))</f>
        <v/>
      </c>
      <c r="H103" s="6" cm="1" t="str">
        <f t="array" ref="H103">IF(G103="","",SUBSTITUTE(SUBSTITUTE(SUBSTITUTE(SUBSTITUTE(SUBSTITUTE(G103,"&lt;p&gt;",""),"&lt;/p&gt;",""),"&lt;ul&gt;",""),"&lt;/ul&gt;",""),"&lt;/strong&gt;",""))</f>
        <v/>
      </c>
      <c r="I103" s="12" cm="1" t="str">
        <f t="array" ref="I103">IF(C103="","",IF(OR(H103="",H103=0,H103=FALSE),"-",H103))</f>
        <v/>
      </c>
      <c r="J103">
</c>
      <c r="K103">
</c>
      <c r="L103" s="6" cm="1" t="str">
        <f t="array" ref="L103">IF(C103="","",IF(K103="Mort / Plus rien à faire","KO","OK"))</f>
        <v/>
      </c>
      <c r="M103" s="17">
</c>
      <c r="N103" s="13" cm="1" t="str">
        <f t="array" ref="N103">IF(OR(C103="",M103="",M103=0),"",M103)</f>
        <v/>
      </c>
      <c r="O103" s="17">
</c>
      <c r="P103" s="13" cm="1" t="str">
        <f t="array" ref="P103">IF(C103="","",IF(OR(O103="",O103=0),"-",O103))</f>
        <v/>
      </c>
      <c r="Q103" s="18">
</c>
      <c r="R103" s="6" cm="1" t="str">
        <f t="array" ref="R103">IF(C103="","",ROUND(Q103/1000000,3)&amp;" M€")</f>
        <v/>
      </c>
      <c r="S103" s="19">
</c>
      <c r="T103" s="6" cm="1" t="str">
        <f t="array" ref="T103">IF(C103="","",SUBSTITUTE(S103,"","")&amp;"%")</f>
        <v/>
      </c>
      <c r="U103" s="12" cm="1" t="str">
        <f t="array" ref="U103">IF(($N103="")*($P103=""),"",IF(($N103&lt;&gt;"")*($N103&gt;TODAY()-9)*($N103&lt;TODAY()+1)*($P103&lt;&gt;"")*($P103&gt;=TODAY())*($P103&lt;=TODAY()+13),"Semaine passée &amp; à venir",IF(($N103&lt;&gt;"")*($N103&gt;TODAY()-9)*($N103&lt;TODAY()+1),"Semaine passée",IF(($P103&lt;&gt;"")*($P103&gt;=TODAY())*($P103&lt;=TODAY()+13),"À venir","Autre"))))</f>
        <v/>
      </c>
      <c r="V103" s="5">
</c>
      <c r="W103" s="5">
</c>
      <c r="X103" s="5">
</c>
      <c r="Y103" s="5">
</c>
      <c r="Z103" s="5">
</c>
      <c r="AA103" s="5">
</c>
      <c r="AB103" s="5">
</c>
      <c r="AC103" s="5">
</c>
      <c r="AD103" s="5">
</c>
      <c r="AE103" s="5">
</c>
      <c r="AF103" s="5">
</c>
      <c r="AG103" s="5">
</c>
      <c r="AH103" s="5">
</c>
      <c r="AI103" s="5">
</c>
      <c r="AJ103" s="5">
</c>
      <c r="AK103" s="5">
</c>
    </row>
    <row r="104" ht="65.25" customHeight="1">
      <c r="A104">
</c>
      <c r="B104">
</c>
      <c r="C104" s="16">
</c>
      <c r="D104" s="16">
</c>
      <c r="E104">
</c>
      <c r="F104">
</c>
      <c r="G104" s="6" cm="1" t="str">
        <f t="array" ref="G104">IF(F104="","",SUBSTITUTE(SUBSTITUTE(SUBSTITUTE(SUBSTITUTE(F104,"&lt;li&gt;",CHAR(10)),"&lt;/li&gt;",""),"&lt;br&gt;",CHAR(10)),"&lt;strong&gt;",""))</f>
        <v/>
      </c>
      <c r="H104" s="6" cm="1" t="str">
        <f t="array" ref="H104">IF(G104="","",SUBSTITUTE(SUBSTITUTE(SUBSTITUTE(SUBSTITUTE(SUBSTITUTE(G104,"&lt;p&gt;",""),"&lt;/p&gt;",""),"&lt;ul&gt;",""),"&lt;/ul&gt;",""),"&lt;/strong&gt;",""))</f>
        <v/>
      </c>
      <c r="I104" s="12" cm="1" t="str">
        <f t="array" ref="I104">IF(C104="","",IF(OR(H104="",H104=0,H104=FALSE),"-",H104))</f>
        <v/>
      </c>
      <c r="J104">
</c>
      <c r="K104">
</c>
      <c r="L104" s="6" cm="1" t="str">
        <f t="array" ref="L104">IF(C104="","",IF(K104="Mort / Plus rien à faire","KO","OK"))</f>
        <v/>
      </c>
      <c r="M104" s="17">
</c>
      <c r="N104" s="13" cm="1" t="str">
        <f t="array" ref="N104">IF(OR(C104="",M104="",M104=0),"",M104)</f>
        <v/>
      </c>
      <c r="O104" s="17">
</c>
      <c r="P104" s="13" cm="1" t="str">
        <f t="array" ref="P104">IF(C104="","",IF(OR(O104="",O104=0),"-",O104))</f>
        <v/>
      </c>
      <c r="Q104" s="18">
</c>
      <c r="R104" s="6" cm="1" t="str">
        <f t="array" ref="R104">IF(C104="","",ROUND(Q104/1000000,3)&amp;" M€")</f>
        <v/>
      </c>
      <c r="S104" s="19">
</c>
      <c r="T104" s="6" cm="1" t="str">
        <f t="array" ref="T104">IF(C104="","",SUBSTITUTE(S104,"","")&amp;"%")</f>
        <v/>
      </c>
      <c r="U104" s="12" cm="1" t="str">
        <f t="array" ref="U104">IF(($N104="")*($P104=""),"",IF(($N104&lt;&gt;"")*($N104&gt;TODAY()-9)*($N104&lt;TODAY()+1)*($P104&lt;&gt;"")*($P104&gt;=TODAY())*($P104&lt;=TODAY()+13),"Semaine passée &amp; à venir",IF(($N104&lt;&gt;"")*($N104&gt;TODAY()-9)*($N104&lt;TODAY()+1),"Semaine passée",IF(($P104&lt;&gt;"")*($P104&gt;=TODAY())*($P104&lt;=TODAY()+13),"À venir","Autre"))))</f>
        <v/>
      </c>
      <c r="V104" s="5">
</c>
      <c r="W104" s="5">
</c>
      <c r="X104" s="5">
</c>
      <c r="Y104" s="5">
</c>
      <c r="Z104" s="5">
</c>
      <c r="AA104" s="5">
</c>
      <c r="AB104" s="5">
</c>
      <c r="AC104" s="5">
</c>
      <c r="AD104" s="5">
</c>
      <c r="AE104" s="5">
</c>
      <c r="AF104" s="5">
</c>
      <c r="AG104" s="5">
</c>
      <c r="AH104" s="5">
</c>
      <c r="AI104" s="5">
</c>
      <c r="AJ104" s="5">
</c>
      <c r="AK104" s="5">
</c>
    </row>
    <row r="105" ht="65.25" customHeight="1">
      <c r="A105">
</c>
      <c r="B105">
</c>
      <c r="C105" s="16">
</c>
      <c r="D105" s="16">
</c>
      <c r="E105">
</c>
      <c r="F105">
</c>
      <c r="G105" s="6" cm="1" t="str">
        <f t="array" ref="G105">IF(F105="","",SUBSTITUTE(SUBSTITUTE(SUBSTITUTE(SUBSTITUTE(F105,"&lt;li&gt;",CHAR(10)),"&lt;/li&gt;",""),"&lt;br&gt;",CHAR(10)),"&lt;strong&gt;",""))</f>
        <v/>
      </c>
      <c r="H105" s="6" cm="1" t="str">
        <f t="array" ref="H105">IF(G105="","",SUBSTITUTE(SUBSTITUTE(SUBSTITUTE(SUBSTITUTE(SUBSTITUTE(G105,"&lt;p&gt;",""),"&lt;/p&gt;",""),"&lt;ul&gt;",""),"&lt;/ul&gt;",""),"&lt;/strong&gt;",""))</f>
        <v/>
      </c>
      <c r="I105" s="12" cm="1" t="str">
        <f t="array" ref="I105">IF(C105="","",IF(OR(H105="",H105=0,H105=FALSE),"-",H105))</f>
        <v/>
      </c>
      <c r="J105">
</c>
      <c r="K105">
</c>
      <c r="L105" s="6" cm="1" t="str">
        <f t="array" ref="L105">IF(C105="","",IF(K105="Mort / Plus rien à faire","KO","OK"))</f>
        <v/>
      </c>
      <c r="M105" s="17">
</c>
      <c r="N105" s="13" cm="1" t="str">
        <f t="array" ref="N105">IF(OR(C105="",M105="",M105=0),"",M105)</f>
        <v/>
      </c>
      <c r="O105" s="17">
</c>
      <c r="P105" s="13" cm="1" t="str">
        <f t="array" ref="P105">IF(C105="","",IF(OR(O105="",O105=0),"-",O105))</f>
        <v/>
      </c>
      <c r="Q105" s="18">
</c>
      <c r="R105" s="6" cm="1" t="str">
        <f t="array" ref="R105">IF(C105="","",ROUND(Q105/1000000,3)&amp;" M€")</f>
        <v/>
      </c>
      <c r="S105" s="19">
</c>
      <c r="T105" s="6" cm="1" t="str">
        <f t="array" ref="T105">IF(C105="","",SUBSTITUTE(S105,"","")&amp;"%")</f>
        <v/>
      </c>
      <c r="U105" s="12" cm="1" t="str">
        <f t="array" ref="U105">IF(($N105="")*($P105=""),"",IF(($N105&lt;&gt;"")*($N105&gt;TODAY()-9)*($N105&lt;TODAY()+1)*($P105&lt;&gt;"")*($P105&gt;=TODAY())*($P105&lt;=TODAY()+13),"Semaine passée &amp; à venir",IF(($N105&lt;&gt;"")*($N105&gt;TODAY()-9)*($N105&lt;TODAY()+1),"Semaine passée",IF(($P105&lt;&gt;"")*($P105&gt;=TODAY())*($P105&lt;=TODAY()+13),"À venir","Autre"))))</f>
        <v/>
      </c>
      <c r="V105" s="5">
</c>
      <c r="W105" s="5">
</c>
      <c r="X105" s="5">
</c>
      <c r="Y105" s="5">
</c>
      <c r="Z105" s="5">
</c>
      <c r="AA105" s="5">
</c>
      <c r="AB105" s="5">
</c>
      <c r="AC105" s="5">
</c>
      <c r="AD105" s="5">
</c>
      <c r="AE105" s="5">
</c>
      <c r="AF105" s="5">
</c>
      <c r="AG105" s="5">
</c>
      <c r="AH105" s="5">
</c>
      <c r="AI105" s="5">
</c>
      <c r="AJ105" s="5">
</c>
      <c r="AK105" s="5">
</c>
    </row>
    <row r="106" ht="65.25" customHeight="1">
      <c r="A106">
</c>
      <c r="B106">
</c>
      <c r="C106" s="16">
</c>
      <c r="D106" s="16">
</c>
      <c r="E106">
</c>
      <c r="F106">
</c>
      <c r="G106" s="6" cm="1" t="str">
        <f t="array" ref="G106">IF(F106="","",SUBSTITUTE(SUBSTITUTE(SUBSTITUTE(SUBSTITUTE(F106,"&lt;li&gt;",CHAR(10)),"&lt;/li&gt;",""),"&lt;br&gt;",CHAR(10)),"&lt;strong&gt;",""))</f>
        <v/>
      </c>
      <c r="H106" s="6" cm="1" t="str">
        <f t="array" ref="H106">IF(G106="","",SUBSTITUTE(SUBSTITUTE(SUBSTITUTE(SUBSTITUTE(SUBSTITUTE(G106,"&lt;p&gt;",""),"&lt;/p&gt;",""),"&lt;ul&gt;",""),"&lt;/ul&gt;",""),"&lt;/strong&gt;",""))</f>
        <v/>
      </c>
      <c r="I106" s="12" cm="1" t="str">
        <f t="array" ref="I106">IF(C106="","",IF(OR(H106="",H106=0,H106=FALSE),"-",H106))</f>
        <v/>
      </c>
      <c r="J106">
</c>
      <c r="K106">
</c>
      <c r="L106" s="6" cm="1" t="str">
        <f t="array" ref="L106">IF(C106="","",IF(K106="Mort / Plus rien à faire","KO","OK"))</f>
        <v/>
      </c>
      <c r="M106" s="17">
</c>
      <c r="N106" s="13" cm="1" t="str">
        <f t="array" ref="N106">IF(OR(C106="",M106="",M106=0),"",M106)</f>
        <v/>
      </c>
      <c r="O106" s="17">
</c>
      <c r="P106" s="13" cm="1" t="str">
        <f t="array" ref="P106">IF(C106="","",IF(OR(O106="",O106=0),"-",O106))</f>
        <v/>
      </c>
      <c r="Q106" s="18">
</c>
      <c r="R106" s="6" cm="1" t="str">
        <f t="array" ref="R106">IF(C106="","",ROUND(Q106/1000000,3)&amp;" M€")</f>
        <v/>
      </c>
      <c r="S106" s="19">
</c>
      <c r="T106" s="6" cm="1" t="str">
        <f t="array" ref="T106">IF(C106="","",SUBSTITUTE(S106,"","")&amp;"%")</f>
        <v/>
      </c>
      <c r="U106" s="12" cm="1" t="str">
        <f t="array" ref="U106">IF(($N106="")*($P106=""),"",IF(($N106&lt;&gt;"")*($N106&gt;TODAY()-9)*($N106&lt;TODAY()+1)*($P106&lt;&gt;"")*($P106&gt;=TODAY())*($P106&lt;=TODAY()+13),"Semaine passée &amp; à venir",IF(($N106&lt;&gt;"")*($N106&gt;TODAY()-9)*($N106&lt;TODAY()+1),"Semaine passée",IF(($P106&lt;&gt;"")*($P106&gt;=TODAY())*($P106&lt;=TODAY()+13),"À venir","Autre"))))</f>
        <v/>
      </c>
      <c r="V106" s="5">
</c>
      <c r="W106" s="5">
</c>
      <c r="X106" s="5">
</c>
      <c r="Y106" s="5">
</c>
      <c r="Z106" s="5">
</c>
      <c r="AA106" s="5">
</c>
      <c r="AB106" s="5">
</c>
      <c r="AC106" s="5">
</c>
      <c r="AD106" s="5">
</c>
      <c r="AE106" s="5">
</c>
      <c r="AF106" s="5">
</c>
      <c r="AG106" s="5">
</c>
      <c r="AH106" s="5">
</c>
      <c r="AI106" s="5">
</c>
      <c r="AJ106" s="5">
</c>
      <c r="AK106" s="5">
</c>
    </row>
    <row r="107" ht="65.25" customHeight="1">
      <c r="A107">
</c>
      <c r="B107">
</c>
      <c r="C107" s="16">
</c>
      <c r="D107" s="16">
</c>
      <c r="E107">
</c>
      <c r="F107">
</c>
      <c r="G107" s="6" cm="1" t="str">
        <f t="array" ref="G107">IF(F107="","",SUBSTITUTE(SUBSTITUTE(SUBSTITUTE(SUBSTITUTE(F107,"&lt;li&gt;",CHAR(10)),"&lt;/li&gt;",""),"&lt;br&gt;",CHAR(10)),"&lt;strong&gt;",""))</f>
        <v/>
      </c>
      <c r="H107" s="6" cm="1" t="str">
        <f t="array" ref="H107">IF(G107="","",SUBSTITUTE(SUBSTITUTE(SUBSTITUTE(SUBSTITUTE(SUBSTITUTE(G107,"&lt;p&gt;",""),"&lt;/p&gt;",""),"&lt;ul&gt;",""),"&lt;/ul&gt;",""),"&lt;/strong&gt;",""))</f>
        <v/>
      </c>
      <c r="I107" s="12" cm="1" t="str">
        <f t="array" ref="I107">IF(C107="","",IF(OR(H107="",H107=0,H107=FALSE),"-",H107))</f>
        <v/>
      </c>
      <c r="J107">
</c>
      <c r="K107">
</c>
      <c r="L107" s="6" cm="1" t="str">
        <f t="array" ref="L107">IF(C107="","",IF(K107="Mort / Plus rien à faire","KO","OK"))</f>
        <v/>
      </c>
      <c r="M107" s="17">
</c>
      <c r="N107" s="13" cm="1" t="str">
        <f t="array" ref="N107">IF(OR(C107="",M107="",M107=0),"",M107)</f>
        <v/>
      </c>
      <c r="O107" s="17">
</c>
      <c r="P107" s="13" cm="1" t="str">
        <f t="array" ref="P107">IF(C107="","",IF(OR(O107="",O107=0),"-",O107))</f>
        <v/>
      </c>
      <c r="Q107" s="18">
</c>
      <c r="R107" s="6" cm="1" t="str">
        <f t="array" ref="R107">IF(C107="","",ROUND(Q107/1000000,3)&amp;" M€")</f>
        <v/>
      </c>
      <c r="S107" s="19">
</c>
      <c r="T107" s="6" cm="1" t="str">
        <f t="array" ref="T107">IF(C107="","",SUBSTITUTE(S107,"","")&amp;"%")</f>
        <v/>
      </c>
      <c r="U107" s="12" cm="1" t="str">
        <f t="array" ref="U107">IF(($N107="")*($P107=""),"",IF(($N107&lt;&gt;"")*($N107&gt;TODAY()-9)*($N107&lt;TODAY()+1)*($P107&lt;&gt;"")*($P107&gt;=TODAY())*($P107&lt;=TODAY()+13),"Semaine passée &amp; à venir",IF(($N107&lt;&gt;"")*($N107&gt;TODAY()-9)*($N107&lt;TODAY()+1),"Semaine passée",IF(($P107&lt;&gt;"")*($P107&gt;=TODAY())*($P107&lt;=TODAY()+13),"À venir","Autre"))))</f>
        <v/>
      </c>
      <c r="V107" s="5">
</c>
      <c r="W107" s="5">
</c>
      <c r="X107" s="5">
</c>
      <c r="Y107" s="5">
</c>
      <c r="Z107" s="5">
</c>
      <c r="AA107" s="5">
</c>
      <c r="AB107" s="5">
</c>
      <c r="AC107" s="5">
</c>
      <c r="AD107" s="5">
</c>
      <c r="AE107" s="5">
</c>
      <c r="AF107" s="5">
</c>
      <c r="AG107" s="5">
</c>
      <c r="AH107" s="5">
</c>
      <c r="AI107" s="5">
</c>
      <c r="AJ107" s="5">
</c>
      <c r="AK107" s="5">
</c>
    </row>
    <row r="108" ht="65.25" customHeight="1">
      <c r="A108">
</c>
      <c r="B108">
</c>
      <c r="C108" s="16">
</c>
      <c r="D108" s="16">
</c>
      <c r="E108">
</c>
      <c r="F108">
</c>
      <c r="G108" s="6" cm="1" t="str">
        <f t="array" ref="G108">IF(F108="","",SUBSTITUTE(SUBSTITUTE(SUBSTITUTE(SUBSTITUTE(F108,"&lt;li&gt;",CHAR(10)),"&lt;/li&gt;",""),"&lt;br&gt;",CHAR(10)),"&lt;strong&gt;",""))</f>
        <v/>
      </c>
      <c r="H108" s="6" cm="1" t="str">
        <f t="array" ref="H108">IF(G108="","",SUBSTITUTE(SUBSTITUTE(SUBSTITUTE(SUBSTITUTE(SUBSTITUTE(G108,"&lt;p&gt;",""),"&lt;/p&gt;",""),"&lt;ul&gt;",""),"&lt;/ul&gt;",""),"&lt;/strong&gt;",""))</f>
        <v/>
      </c>
      <c r="I108" s="12" cm="1" t="str">
        <f t="array" ref="I108">IF(C108="","",IF(OR(H108="",H108=0,H108=FALSE),"-",H108))</f>
        <v/>
      </c>
      <c r="J108">
</c>
      <c r="K108">
</c>
      <c r="L108" s="6" cm="1" t="str">
        <f t="array" ref="L108">IF(C108="","",IF(K108="Mort / Plus rien à faire","KO","OK"))</f>
        <v/>
      </c>
      <c r="M108" s="17">
</c>
      <c r="N108" s="13" cm="1" t="str">
        <f t="array" ref="N108">IF(OR(C108="",M108="",M108=0),"",M108)</f>
        <v/>
      </c>
      <c r="O108" s="17">
</c>
      <c r="P108" s="13" cm="1" t="str">
        <f t="array" ref="P108">IF(C108="","",IF(OR(O108="",O108=0),"-",O108))</f>
        <v/>
      </c>
      <c r="Q108" s="18">
</c>
      <c r="R108" s="6" cm="1" t="str">
        <f t="array" ref="R108">IF(C108="","",ROUND(Q108/1000000,3)&amp;" M€")</f>
        <v/>
      </c>
      <c r="S108" s="19">
</c>
      <c r="T108" s="6" cm="1" t="str">
        <f t="array" ref="T108">IF(C108="","",SUBSTITUTE(S108,"","")&amp;"%")</f>
        <v/>
      </c>
      <c r="U108" s="12" cm="1" t="str">
        <f t="array" ref="U108">IF(($N108="")*($P108=""),"",IF(($N108&lt;&gt;"")*($N108&gt;TODAY()-9)*($N108&lt;TODAY()+1)*($P108&lt;&gt;"")*($P108&gt;=TODAY())*($P108&lt;=TODAY()+13),"Semaine passée &amp; à venir",IF(($N108&lt;&gt;"")*($N108&gt;TODAY()-9)*($N108&lt;TODAY()+1),"Semaine passée",IF(($P108&lt;&gt;"")*($P108&gt;=TODAY())*($P108&lt;=TODAY()+13),"À venir","Autre"))))</f>
        <v/>
      </c>
      <c r="V108" s="5">
</c>
      <c r="W108" s="5">
</c>
      <c r="X108" s="5">
</c>
      <c r="Y108" s="5">
</c>
      <c r="Z108" s="5">
</c>
      <c r="AA108" s="5">
</c>
      <c r="AB108" s="5">
</c>
      <c r="AC108" s="5">
</c>
      <c r="AD108" s="5">
</c>
      <c r="AE108" s="5">
</c>
      <c r="AF108" s="5">
</c>
      <c r="AG108" s="5">
</c>
      <c r="AH108" s="5">
</c>
      <c r="AI108" s="5">
</c>
      <c r="AJ108" s="5">
</c>
      <c r="AK108" s="5">
</c>
    </row>
    <row r="109" ht="65.25" customHeight="1">
      <c r="A109">
</c>
      <c r="B109">
</c>
      <c r="C109" s="16">
</c>
      <c r="D109" s="16">
</c>
      <c r="E109">
</c>
      <c r="F109">
</c>
      <c r="G109" s="6" cm="1" t="str">
        <f t="array" ref="G109">IF(F109="","",SUBSTITUTE(SUBSTITUTE(SUBSTITUTE(SUBSTITUTE(F109,"&lt;li&gt;",CHAR(10)),"&lt;/li&gt;",""),"&lt;br&gt;",CHAR(10)),"&lt;strong&gt;",""))</f>
        <v/>
      </c>
      <c r="H109" s="6" cm="1" t="str">
        <f t="array" ref="H109">IF(G109="","",SUBSTITUTE(SUBSTITUTE(SUBSTITUTE(SUBSTITUTE(SUBSTITUTE(G109,"&lt;p&gt;",""),"&lt;/p&gt;",""),"&lt;ul&gt;",""),"&lt;/ul&gt;",""),"&lt;/strong&gt;",""))</f>
        <v/>
      </c>
      <c r="I109" s="12" cm="1" t="str">
        <f t="array" ref="I109">IF(C109="","",IF(OR(H109="",H109=0,H109=FALSE),"-",H109))</f>
        <v/>
      </c>
      <c r="J109">
</c>
      <c r="K109">
</c>
      <c r="L109" s="6" cm="1" t="str">
        <f t="array" ref="L109">IF(C109="","",IF(K109="Mort / Plus rien à faire","KO","OK"))</f>
        <v/>
      </c>
      <c r="M109" s="17">
</c>
      <c r="N109" s="13" cm="1" t="str">
        <f t="array" ref="N109">IF(OR(C109="",M109="",M109=0),"",M109)</f>
        <v/>
      </c>
      <c r="O109" s="17">
</c>
      <c r="P109" s="13" cm="1" t="str">
        <f t="array" ref="P109">IF(C109="","",IF(OR(O109="",O109=0),"-",O109))</f>
        <v/>
      </c>
      <c r="Q109" s="18">
</c>
      <c r="R109" s="6" cm="1" t="str">
        <f t="array" ref="R109">IF(C109="","",ROUND(Q109/1000000,3)&amp;" M€")</f>
        <v/>
      </c>
      <c r="S109" s="19">
</c>
      <c r="T109" s="6" cm="1" t="str">
        <f t="array" ref="T109">IF(C109="","",SUBSTITUTE(S109,"","")&amp;"%")</f>
        <v/>
      </c>
      <c r="U109" s="12" cm="1" t="str">
        <f t="array" ref="U109">IF(($N109="")*($P109=""),"",IF(($N109&lt;&gt;"")*($N109&gt;TODAY()-9)*($N109&lt;TODAY()+1)*($P109&lt;&gt;"")*($P109&gt;=TODAY())*($P109&lt;=TODAY()+13),"Semaine passée &amp; à venir",IF(($N109&lt;&gt;"")*($N109&gt;TODAY()-9)*($N109&lt;TODAY()+1),"Semaine passée",IF(($P109&lt;&gt;"")*($P109&gt;=TODAY())*($P109&lt;=TODAY()+13),"À venir","Autre"))))</f>
        <v/>
      </c>
      <c r="V109" s="5">
</c>
      <c r="W109" s="5">
</c>
      <c r="X109" s="5">
</c>
      <c r="Y109" s="5">
</c>
      <c r="Z109" s="5">
</c>
      <c r="AA109" s="5">
</c>
      <c r="AB109" s="5">
</c>
      <c r="AC109" s="5">
</c>
      <c r="AD109" s="5">
</c>
      <c r="AE109" s="5">
</c>
      <c r="AF109" s="5">
</c>
      <c r="AG109" s="5">
</c>
      <c r="AH109" s="5">
</c>
      <c r="AI109" s="5">
</c>
      <c r="AJ109" s="5">
</c>
      <c r="AK109" s="5">
</c>
    </row>
    <row r="110" ht="65.25" customHeight="1">
      <c r="A110">
</c>
      <c r="B110">
</c>
      <c r="C110" s="16">
</c>
      <c r="D110" s="16">
</c>
      <c r="E110">
</c>
      <c r="F110">
</c>
      <c r="G110" s="6" cm="1" t="str">
        <f t="array" ref="G110">IF(F110="","",SUBSTITUTE(SUBSTITUTE(SUBSTITUTE(SUBSTITUTE(F110,"&lt;li&gt;",CHAR(10)),"&lt;/li&gt;",""),"&lt;br&gt;",CHAR(10)),"&lt;strong&gt;",""))</f>
        <v/>
      </c>
      <c r="H110" s="6" cm="1" t="str">
        <f t="array" ref="H110">IF(G110="","",SUBSTITUTE(SUBSTITUTE(SUBSTITUTE(SUBSTITUTE(SUBSTITUTE(G110,"&lt;p&gt;",""),"&lt;/p&gt;",""),"&lt;ul&gt;",""),"&lt;/ul&gt;",""),"&lt;/strong&gt;",""))</f>
        <v/>
      </c>
      <c r="I110" s="12" cm="1" t="str">
        <f t="array" ref="I110">IF(C110="","",IF(OR(H110="",H110=0,H110=FALSE),"-",H110))</f>
        <v/>
      </c>
      <c r="J110">
</c>
      <c r="K110">
</c>
      <c r="L110" s="6" cm="1" t="str">
        <f t="array" ref="L110">IF(C110="","",IF(K110="Mort / Plus rien à faire","KO","OK"))</f>
        <v/>
      </c>
      <c r="M110" s="17">
</c>
      <c r="N110" s="13" cm="1" t="str">
        <f t="array" ref="N110">IF(OR(C110="",M110="",M110=0),"",M110)</f>
        <v/>
      </c>
      <c r="O110" s="17">
</c>
      <c r="P110" s="13" cm="1" t="str">
        <f t="array" ref="P110">IF(C110="","",IF(OR(O110="",O110=0),"-",O110))</f>
        <v/>
      </c>
      <c r="Q110" s="18">
</c>
      <c r="R110" s="6" cm="1" t="str">
        <f t="array" ref="R110">IF(C110="","",ROUND(Q110/1000000,3)&amp;" M€")</f>
        <v/>
      </c>
      <c r="S110" s="19">
</c>
      <c r="T110" s="6" cm="1" t="str">
        <f t="array" ref="T110">IF(C110="","",SUBSTITUTE(S110,"","")&amp;"%")</f>
        <v/>
      </c>
      <c r="U110" s="12" cm="1" t="str">
        <f t="array" ref="U110">IF(($N110="")*($P110=""),"",IF(($N110&lt;&gt;"")*($N110&gt;TODAY()-9)*($N110&lt;TODAY()+1)*($P110&lt;&gt;"")*($P110&gt;=TODAY())*($P110&lt;=TODAY()+13),"Semaine passée &amp; à venir",IF(($N110&lt;&gt;"")*($N110&gt;TODAY()-9)*($N110&lt;TODAY()+1),"Semaine passée",IF(($P110&lt;&gt;"")*($P110&gt;=TODAY())*($P110&lt;=TODAY()+13),"À venir","Autre"))))</f>
        <v/>
      </c>
      <c r="V110" s="5">
</c>
      <c r="W110" s="5">
</c>
      <c r="X110" s="5">
</c>
      <c r="Y110" s="5">
</c>
      <c r="Z110" s="5">
</c>
      <c r="AA110" s="5">
</c>
      <c r="AB110" s="5">
</c>
      <c r="AC110" s="5">
</c>
      <c r="AD110" s="5">
</c>
      <c r="AE110" s="5">
</c>
      <c r="AF110" s="5">
</c>
      <c r="AG110" s="5">
</c>
      <c r="AH110" s="5">
</c>
      <c r="AI110" s="5">
</c>
      <c r="AJ110" s="5">
</c>
      <c r="AK110" s="5">
</c>
    </row>
    <row r="111" ht="65.25" customHeight="1">
      <c r="A111">
</c>
      <c r="B111">
</c>
      <c r="C111" s="16">
</c>
      <c r="D111" s="16">
</c>
      <c r="E111">
</c>
      <c r="F111">
</c>
      <c r="G111" s="6" cm="1" t="str">
        <f t="array" ref="G111">IF(F111="","",SUBSTITUTE(SUBSTITUTE(SUBSTITUTE(SUBSTITUTE(F111,"&lt;li&gt;",CHAR(10)),"&lt;/li&gt;",""),"&lt;br&gt;",CHAR(10)),"&lt;strong&gt;",""))</f>
        <v/>
      </c>
      <c r="H111" s="6" cm="1" t="str">
        <f t="array" ref="H111">IF(G111="","",SUBSTITUTE(SUBSTITUTE(SUBSTITUTE(SUBSTITUTE(SUBSTITUTE(G111,"&lt;p&gt;",""),"&lt;/p&gt;",""),"&lt;ul&gt;",""),"&lt;/ul&gt;",""),"&lt;/strong&gt;",""))</f>
        <v/>
      </c>
      <c r="I111" s="12" cm="1" t="str">
        <f t="array" ref="I111">IF(C111="","",IF(OR(H111="",H111=0,H111=FALSE),"-",H111))</f>
        <v/>
      </c>
      <c r="J111">
</c>
      <c r="K111">
</c>
      <c r="L111" s="6" cm="1" t="str">
        <f t="array" ref="L111">IF(C111="","",IF(K111="Mort / Plus rien à faire","KO","OK"))</f>
        <v/>
      </c>
      <c r="M111" s="17">
</c>
      <c r="N111" s="13" cm="1" t="str">
        <f t="array" ref="N111">IF(OR(C111="",M111="",M111=0),"",M111)</f>
        <v/>
      </c>
      <c r="O111" s="17">
</c>
      <c r="P111" s="13" cm="1" t="str">
        <f t="array" ref="P111">IF(C111="","",IF(OR(O111="",O111=0),"-",O111))</f>
        <v/>
      </c>
      <c r="Q111" s="18">
</c>
      <c r="R111" s="6" cm="1" t="str">
        <f t="array" ref="R111">IF(C111="","",ROUND(Q111/1000000,3)&amp;" M€")</f>
        <v/>
      </c>
      <c r="S111" s="19">
</c>
      <c r="T111" s="6" cm="1" t="str">
        <f t="array" ref="T111">IF(C111="","",SUBSTITUTE(S111,"","")&amp;"%")</f>
        <v/>
      </c>
      <c r="U111" s="12" cm="1" t="str">
        <f t="array" ref="U111">IF(($N111="")*($P111=""),"",IF(($N111&lt;&gt;"")*($N111&gt;TODAY()-9)*($N111&lt;TODAY()+1)*($P111&lt;&gt;"")*($P111&gt;=TODAY())*($P111&lt;=TODAY()+13),"Semaine passée &amp; à venir",IF(($N111&lt;&gt;"")*($N111&gt;TODAY()-9)*($N111&lt;TODAY()+1),"Semaine passée",IF(($P111&lt;&gt;"")*($P111&gt;=TODAY())*($P111&lt;=TODAY()+13),"À venir","Autre"))))</f>
        <v/>
      </c>
      <c r="V111" s="5">
</c>
      <c r="W111" s="5">
</c>
      <c r="X111" s="5">
</c>
      <c r="Y111" s="5">
</c>
      <c r="Z111" s="5">
</c>
      <c r="AA111" s="5">
</c>
      <c r="AB111" s="5">
</c>
      <c r="AC111" s="5">
</c>
      <c r="AD111" s="5">
</c>
      <c r="AE111" s="5">
</c>
      <c r="AF111" s="5">
</c>
      <c r="AG111" s="5">
</c>
      <c r="AH111" s="5">
</c>
      <c r="AI111" s="5">
</c>
      <c r="AJ111" s="5">
</c>
      <c r="AK111" s="5">
</c>
    </row>
    <row r="112" ht="65.25" customHeight="1">
      <c r="A112">
</c>
      <c r="B112">
</c>
      <c r="C112" s="16">
</c>
      <c r="D112" s="16">
</c>
      <c r="E112">
</c>
      <c r="F112">
</c>
      <c r="G112" s="6" cm="1" t="str">
        <f t="array" ref="G112">IF(F112="","",SUBSTITUTE(SUBSTITUTE(SUBSTITUTE(SUBSTITUTE(F112,"&lt;li&gt;",CHAR(10)),"&lt;/li&gt;",""),"&lt;br&gt;",CHAR(10)),"&lt;strong&gt;",""))</f>
        <v/>
      </c>
      <c r="H112" s="6" cm="1" t="str">
        <f t="array" ref="H112">IF(G112="","",SUBSTITUTE(SUBSTITUTE(SUBSTITUTE(SUBSTITUTE(SUBSTITUTE(G112,"&lt;p&gt;",""),"&lt;/p&gt;",""),"&lt;ul&gt;",""),"&lt;/ul&gt;",""),"&lt;/strong&gt;",""))</f>
        <v/>
      </c>
      <c r="I112" s="12" cm="1" t="str">
        <f t="array" ref="I112">IF(C112="","",IF(OR(H112="",H112=0,H112=FALSE),"-",H112))</f>
        <v/>
      </c>
      <c r="J112">
</c>
      <c r="K112">
</c>
      <c r="L112" s="6" cm="1" t="str">
        <f t="array" ref="L112">IF(C112="","",IF(K112="Mort / Plus rien à faire","KO","OK"))</f>
        <v/>
      </c>
      <c r="M112" s="17">
</c>
      <c r="N112" s="13" cm="1" t="str">
        <f t="array" ref="N112">IF(OR(C112="",M112="",M112=0),"",M112)</f>
        <v/>
      </c>
      <c r="O112" s="17">
</c>
      <c r="P112" s="13" cm="1" t="str">
        <f t="array" ref="P112">IF(C112="","",IF(OR(O112="",O112=0),"-",O112))</f>
        <v/>
      </c>
      <c r="Q112" s="18">
</c>
      <c r="R112" s="6" cm="1" t="str">
        <f t="array" ref="R112">IF(C112="","",ROUND(Q112/1000000,3)&amp;" M€")</f>
        <v/>
      </c>
      <c r="S112" s="19">
</c>
      <c r="T112" s="6" cm="1" t="str">
        <f t="array" ref="T112">IF(C112="","",SUBSTITUTE(S112,"","")&amp;"%")</f>
        <v/>
      </c>
      <c r="U112" s="12" cm="1" t="str">
        <f t="array" ref="U112">IF(($N112="")*($P112=""),"",IF(($N112&lt;&gt;"")*($N112&gt;TODAY()-9)*($N112&lt;TODAY()+1)*($P112&lt;&gt;"")*($P112&gt;=TODAY())*($P112&lt;=TODAY()+13),"Semaine passée &amp; à venir",IF(($N112&lt;&gt;"")*($N112&gt;TODAY()-9)*($N112&lt;TODAY()+1),"Semaine passée",IF(($P112&lt;&gt;"")*($P112&gt;=TODAY())*($P112&lt;=TODAY()+13),"À venir","Autre"))))</f>
        <v/>
      </c>
      <c r="V112" s="5">
</c>
      <c r="W112" s="5">
</c>
      <c r="X112" s="5">
</c>
      <c r="Y112" s="5">
</c>
      <c r="Z112" s="5">
</c>
      <c r="AA112" s="5">
</c>
      <c r="AB112" s="5">
</c>
      <c r="AC112" s="5">
</c>
      <c r="AD112" s="5">
</c>
      <c r="AE112" s="5">
</c>
      <c r="AF112" s="5">
</c>
      <c r="AG112" s="5">
</c>
      <c r="AH112" s="5">
</c>
      <c r="AI112" s="5">
</c>
      <c r="AJ112" s="5">
</c>
      <c r="AK112" s="5">
</c>
    </row>
    <row r="113" ht="65.25" customHeight="1">
      <c r="A113">
</c>
      <c r="B113">
</c>
      <c r="C113" s="16">
</c>
      <c r="D113" s="16">
</c>
      <c r="E113">
</c>
      <c r="F113">
</c>
      <c r="G113" s="6" cm="1" t="str">
        <f t="array" ref="G113">IF(F113="","",SUBSTITUTE(SUBSTITUTE(SUBSTITUTE(SUBSTITUTE(F113,"&lt;li&gt;",CHAR(10)),"&lt;/li&gt;",""),"&lt;br&gt;",CHAR(10)),"&lt;strong&gt;",""))</f>
        <v/>
      </c>
      <c r="H113" s="6" cm="1" t="str">
        <f t="array" ref="H113">IF(G113="","",SUBSTITUTE(SUBSTITUTE(SUBSTITUTE(SUBSTITUTE(SUBSTITUTE(G113,"&lt;p&gt;",""),"&lt;/p&gt;",""),"&lt;ul&gt;",""),"&lt;/ul&gt;",""),"&lt;/strong&gt;",""))</f>
        <v/>
      </c>
      <c r="I113" s="12" cm="1" t="str">
        <f t="array" ref="I113">IF(C113="","",IF(OR(H113="",H113=0,H113=FALSE),"-",H113))</f>
        <v/>
      </c>
      <c r="J113">
</c>
      <c r="K113">
</c>
      <c r="L113" s="6" cm="1" t="str">
        <f t="array" ref="L113">IF(C113="","",IF(K113="Mort / Plus rien à faire","KO","OK"))</f>
        <v/>
      </c>
      <c r="M113" s="17">
</c>
      <c r="N113" s="13" cm="1" t="str">
        <f t="array" ref="N113">IF(OR(C113="",M113="",M113=0),"",M113)</f>
        <v/>
      </c>
      <c r="O113" s="17">
</c>
      <c r="P113" s="13" cm="1" t="str">
        <f t="array" ref="P113">IF(C113="","",IF(OR(O113="",O113=0),"-",O113))</f>
        <v/>
      </c>
      <c r="Q113" s="18">
</c>
      <c r="R113" s="6" cm="1" t="str">
        <f t="array" ref="R113">IF(C113="","",ROUND(Q113/1000000,3)&amp;" M€")</f>
        <v/>
      </c>
      <c r="S113" s="19">
</c>
      <c r="T113" s="6" cm="1" t="str">
        <f t="array" ref="T113">IF(C113="","",SUBSTITUTE(S113,"","")&amp;"%")</f>
        <v/>
      </c>
      <c r="U113" s="12" cm="1" t="str">
        <f t="array" ref="U113">IF(($N113="")*($P113=""),"",IF(($N113&lt;&gt;"")*($N113&gt;TODAY()-9)*($N113&lt;TODAY()+1)*($P113&lt;&gt;"")*($P113&gt;=TODAY())*($P113&lt;=TODAY()+13),"Semaine passée &amp; à venir",IF(($N113&lt;&gt;"")*($N113&gt;TODAY()-9)*($N113&lt;TODAY()+1),"Semaine passée",IF(($P113&lt;&gt;"")*($P113&gt;=TODAY())*($P113&lt;=TODAY()+13),"À venir","Autre"))))</f>
        <v/>
      </c>
      <c r="V113" s="5">
</c>
      <c r="W113" s="5">
</c>
      <c r="X113" s="5">
</c>
      <c r="Y113" s="5">
</c>
      <c r="Z113" s="5">
</c>
      <c r="AA113" s="5">
</c>
      <c r="AB113" s="5">
</c>
      <c r="AC113" s="5">
</c>
      <c r="AD113" s="5">
</c>
      <c r="AE113" s="5">
</c>
      <c r="AF113" s="5">
</c>
      <c r="AG113" s="5">
</c>
      <c r="AH113" s="5">
</c>
      <c r="AI113" s="5">
</c>
      <c r="AJ113" s="5">
</c>
      <c r="AK113" s="5">
</c>
    </row>
    <row r="114" ht="65.25" customHeight="1">
      <c r="A114">
</c>
      <c r="B114">
</c>
      <c r="C114" s="16">
</c>
      <c r="D114" s="16">
</c>
      <c r="E114">
</c>
      <c r="F114">
</c>
      <c r="G114" s="6" cm="1" t="str">
        <f t="array" ref="G114">IF(F114="","",SUBSTITUTE(SUBSTITUTE(SUBSTITUTE(SUBSTITUTE(F114,"&lt;li&gt;",CHAR(10)),"&lt;/li&gt;",""),"&lt;br&gt;",CHAR(10)),"&lt;strong&gt;",""))</f>
        <v/>
      </c>
      <c r="H114" s="6" cm="1" t="str">
        <f t="array" ref="H114">IF(G114="","",SUBSTITUTE(SUBSTITUTE(SUBSTITUTE(SUBSTITUTE(SUBSTITUTE(G114,"&lt;p&gt;",""),"&lt;/p&gt;",""),"&lt;ul&gt;",""),"&lt;/ul&gt;",""),"&lt;/strong&gt;",""))</f>
        <v/>
      </c>
      <c r="I114" s="12" cm="1" t="str">
        <f t="array" ref="I114">IF(C114="","",IF(OR(H114="",H114=0,H114=FALSE),"-",H114))</f>
        <v/>
      </c>
      <c r="J114">
</c>
      <c r="K114">
</c>
      <c r="L114" s="6" cm="1" t="str">
        <f t="array" ref="L114">IF(C114="","",IF(K114="Mort / Plus rien à faire","KO","OK"))</f>
        <v/>
      </c>
      <c r="M114" s="17">
</c>
      <c r="N114" s="13" cm="1" t="str">
        <f t="array" ref="N114">IF(OR(C114="",M114="",M114=0),"",M114)</f>
        <v/>
      </c>
      <c r="O114" s="17">
</c>
      <c r="P114" s="13" cm="1" t="str">
        <f t="array" ref="P114">IF(C114="","",IF(OR(O114="",O114=0),"-",O114))</f>
        <v/>
      </c>
      <c r="Q114" s="18">
</c>
      <c r="R114" s="6" cm="1" t="str">
        <f t="array" ref="R114">IF(C114="","",ROUND(Q114/1000000,3)&amp;" M€")</f>
        <v/>
      </c>
      <c r="S114" s="19">
</c>
      <c r="T114" s="6" cm="1" t="str">
        <f t="array" ref="T114">IF(C114="","",SUBSTITUTE(S114,"","")&amp;"%")</f>
        <v/>
      </c>
      <c r="U114" s="12" cm="1" t="str">
        <f t="array" ref="U114">IF(($N114="")*($P114=""),"",IF(($N114&lt;&gt;"")*($N114&gt;TODAY()-9)*($N114&lt;TODAY()+1)*($P114&lt;&gt;"")*($P114&gt;=TODAY())*($P114&lt;=TODAY()+13),"Semaine passée &amp; à venir",IF(($N114&lt;&gt;"")*($N114&gt;TODAY()-9)*($N114&lt;TODAY()+1),"Semaine passée",IF(($P114&lt;&gt;"")*($P114&gt;=TODAY())*($P114&lt;=TODAY()+13),"À venir","Autre"))))</f>
        <v/>
      </c>
      <c r="V114" s="5">
</c>
      <c r="W114" s="5">
</c>
      <c r="X114" s="5">
</c>
      <c r="Y114" s="5">
</c>
      <c r="Z114" s="5">
</c>
      <c r="AA114" s="5">
</c>
      <c r="AB114" s="5">
</c>
      <c r="AC114" s="5">
</c>
      <c r="AD114" s="5">
</c>
      <c r="AE114" s="5">
</c>
      <c r="AF114" s="5">
</c>
      <c r="AG114" s="5">
</c>
      <c r="AH114" s="5">
</c>
      <c r="AI114" s="5">
</c>
      <c r="AJ114" s="5">
</c>
      <c r="AK114" s="5">
</c>
    </row>
    <row r="115" ht="65.25" customHeight="1">
      <c r="A115">
</c>
      <c r="B115">
</c>
      <c r="C115" s="16">
</c>
      <c r="D115" s="16">
</c>
      <c r="E115">
</c>
      <c r="F115">
</c>
      <c r="G115" s="6" cm="1" t="str">
        <f t="array" ref="G115">IF(F115="","",SUBSTITUTE(SUBSTITUTE(SUBSTITUTE(SUBSTITUTE(F115,"&lt;li&gt;",CHAR(10)),"&lt;/li&gt;",""),"&lt;br&gt;",CHAR(10)),"&lt;strong&gt;",""))</f>
        <v/>
      </c>
      <c r="H115" s="6" cm="1" t="str">
        <f t="array" ref="H115">IF(G115="","",SUBSTITUTE(SUBSTITUTE(SUBSTITUTE(SUBSTITUTE(SUBSTITUTE(G115,"&lt;p&gt;",""),"&lt;/p&gt;",""),"&lt;ul&gt;",""),"&lt;/ul&gt;",""),"&lt;/strong&gt;",""))</f>
        <v/>
      </c>
      <c r="I115" s="12" cm="1" t="str">
        <f t="array" ref="I115">IF(C115="","",IF(OR(H115="",H115=0,H115=FALSE),"-",H115))</f>
        <v/>
      </c>
      <c r="J115">
</c>
      <c r="K115">
</c>
      <c r="L115" s="6" cm="1" t="str">
        <f t="array" ref="L115">IF(C115="","",IF(K115="Mort / Plus rien à faire","KO","OK"))</f>
        <v/>
      </c>
      <c r="M115" s="17">
</c>
      <c r="N115" s="13" cm="1" t="str">
        <f t="array" ref="N115">IF(OR(C115="",M115="",M115=0),"",M115)</f>
        <v/>
      </c>
      <c r="O115" s="17">
</c>
      <c r="P115" s="13" cm="1" t="str">
        <f t="array" ref="P115">IF(C115="","",IF(OR(O115="",O115=0),"-",O115))</f>
        <v/>
      </c>
      <c r="Q115" s="18">
</c>
      <c r="R115" s="6" cm="1" t="str">
        <f t="array" ref="R115">IF(C115="","",ROUND(Q115/1000000,3)&amp;" M€")</f>
        <v/>
      </c>
      <c r="S115" s="19">
</c>
      <c r="T115" s="6" cm="1" t="str">
        <f t="array" ref="T115">IF(C115="","",SUBSTITUTE(S115,"","")&amp;"%")</f>
        <v/>
      </c>
      <c r="U115" s="12" cm="1" t="str">
        <f t="array" ref="U115">IF(($N115="")*($P115=""),"",IF(($N115&lt;&gt;"")*($N115&gt;TODAY()-9)*($N115&lt;TODAY()+1)*($P115&lt;&gt;"")*($P115&gt;=TODAY())*($P115&lt;=TODAY()+13),"Semaine passée &amp; à venir",IF(($N115&lt;&gt;"")*($N115&gt;TODAY()-9)*($N115&lt;TODAY()+1),"Semaine passée",IF(($P115&lt;&gt;"")*($P115&gt;=TODAY())*($P115&lt;=TODAY()+13),"À venir","Autre"))))</f>
        <v/>
      </c>
      <c r="V115" s="5">
</c>
      <c r="W115" s="5">
</c>
      <c r="X115" s="5">
</c>
      <c r="Y115" s="5">
</c>
      <c r="Z115" s="5">
</c>
      <c r="AA115" s="5">
</c>
      <c r="AB115" s="5">
</c>
      <c r="AC115" s="5">
</c>
      <c r="AD115" s="5">
</c>
      <c r="AE115" s="5">
</c>
      <c r="AF115" s="5">
</c>
      <c r="AG115" s="5">
</c>
      <c r="AH115" s="5">
</c>
      <c r="AI115" s="5">
</c>
      <c r="AJ115" s="5">
</c>
      <c r="AK115" s="5">
</c>
    </row>
    <row r="116" ht="65.25" customHeight="1">
      <c r="A116">
</c>
      <c r="B116">
</c>
      <c r="C116" s="16">
</c>
      <c r="D116" s="16">
</c>
      <c r="E116">
</c>
      <c r="F116">
</c>
      <c r="G116" s="6" cm="1" t="str">
        <f t="array" ref="G116">IF(F116="","",SUBSTITUTE(SUBSTITUTE(SUBSTITUTE(SUBSTITUTE(F116,"&lt;li&gt;",CHAR(10)),"&lt;/li&gt;",""),"&lt;br&gt;",CHAR(10)),"&lt;strong&gt;",""))</f>
        <v/>
      </c>
      <c r="H116" s="6" cm="1" t="str">
        <f t="array" ref="H116">IF(G116="","",SUBSTITUTE(SUBSTITUTE(SUBSTITUTE(SUBSTITUTE(SUBSTITUTE(G116,"&lt;p&gt;",""),"&lt;/p&gt;",""),"&lt;ul&gt;",""),"&lt;/ul&gt;",""),"&lt;/strong&gt;",""))</f>
        <v/>
      </c>
      <c r="I116" s="12" cm="1" t="str">
        <f t="array" ref="I116">IF(C116="","",IF(OR(H116="",H116=0,H116=FALSE),"-",H116))</f>
        <v/>
      </c>
      <c r="J116">
</c>
      <c r="K116">
</c>
      <c r="L116" s="6" cm="1" t="str">
        <f t="array" ref="L116">IF(C116="","",IF(K116="Mort / Plus rien à faire","KO","OK"))</f>
        <v/>
      </c>
      <c r="M116" s="17">
</c>
      <c r="N116" s="13" cm="1" t="str">
        <f t="array" ref="N116">IF(OR(C116="",M116="",M116=0),"",M116)</f>
        <v/>
      </c>
      <c r="O116" s="17">
</c>
      <c r="P116" s="13" cm="1" t="str">
        <f t="array" ref="P116">IF(C116="","",IF(OR(O116="",O116=0),"-",O116))</f>
        <v/>
      </c>
      <c r="Q116" s="18">
</c>
      <c r="R116" s="6" cm="1" t="str">
        <f t="array" ref="R116">IF(C116="","",ROUND(Q116/1000000,3)&amp;" M€")</f>
        <v/>
      </c>
      <c r="S116" s="19">
</c>
      <c r="T116" s="6" cm="1" t="str">
        <f t="array" ref="T116">IF(C116="","",SUBSTITUTE(S116,"","")&amp;"%")</f>
        <v/>
      </c>
      <c r="U116" s="12" cm="1" t="str">
        <f t="array" ref="U116">IF(($N116="")*($P116=""),"",IF(($N116&lt;&gt;"")*($N116&gt;TODAY()-9)*($N116&lt;TODAY()+1)*($P116&lt;&gt;"")*($P116&gt;=TODAY())*($P116&lt;=TODAY()+13),"Semaine passée &amp; à venir",IF(($N116&lt;&gt;"")*($N116&gt;TODAY()-9)*($N116&lt;TODAY()+1),"Semaine passée",IF(($P116&lt;&gt;"")*($P116&gt;=TODAY())*($P116&lt;=TODAY()+13),"À venir","Autre"))))</f>
        <v/>
      </c>
      <c r="V116" s="5">
</c>
      <c r="W116" s="5">
</c>
      <c r="X116" s="5">
</c>
      <c r="Y116" s="5">
</c>
      <c r="Z116" s="5">
</c>
      <c r="AA116" s="5">
</c>
      <c r="AB116" s="5">
</c>
      <c r="AC116" s="5">
</c>
      <c r="AD116" s="5">
</c>
      <c r="AE116" s="5">
</c>
      <c r="AF116" s="5">
</c>
      <c r="AG116" s="5">
</c>
      <c r="AH116" s="5">
</c>
      <c r="AI116" s="5">
</c>
      <c r="AJ116" s="5">
</c>
      <c r="AK116" s="5">
</c>
    </row>
    <row r="117" ht="65.25" customHeight="1">
      <c r="A117">
</c>
      <c r="B117">
</c>
      <c r="C117" s="16">
</c>
      <c r="D117" s="16">
</c>
      <c r="E117">
</c>
      <c r="F117">
</c>
      <c r="G117" s="6" cm="1" t="str">
        <f t="array" ref="G117">IF(F117="","",SUBSTITUTE(SUBSTITUTE(SUBSTITUTE(SUBSTITUTE(F117,"&lt;li&gt;",CHAR(10)),"&lt;/li&gt;",""),"&lt;br&gt;",CHAR(10)),"&lt;strong&gt;",""))</f>
        <v/>
      </c>
      <c r="H117" s="6" cm="1" t="str">
        <f t="array" ref="H117">IF(G117="","",SUBSTITUTE(SUBSTITUTE(SUBSTITUTE(SUBSTITUTE(SUBSTITUTE(G117,"&lt;p&gt;",""),"&lt;/p&gt;",""),"&lt;ul&gt;",""),"&lt;/ul&gt;",""),"&lt;/strong&gt;",""))</f>
        <v/>
      </c>
      <c r="I117" s="12" cm="1" t="str">
        <f t="array" ref="I117">IF(C117="","",IF(OR(H117="",H117=0,H117=FALSE),"-",H117))</f>
        <v/>
      </c>
      <c r="J117">
</c>
      <c r="K117">
</c>
      <c r="L117" s="6" cm="1" t="str">
        <f t="array" ref="L117">IF(C117="","",IF(K117="Mort / Plus rien à faire","KO","OK"))</f>
        <v/>
      </c>
      <c r="M117" s="17">
</c>
      <c r="N117" s="13" cm="1" t="str">
        <f t="array" ref="N117">IF(OR(C117="",M117="",M117=0),"",M117)</f>
        <v/>
      </c>
      <c r="O117" s="17">
</c>
      <c r="P117" s="13" cm="1" t="str">
        <f t="array" ref="P117">IF(C117="","",IF(OR(O117="",O117=0),"-",O117))</f>
        <v/>
      </c>
      <c r="Q117" s="18">
</c>
      <c r="R117" s="6" cm="1" t="str">
        <f t="array" ref="R117">IF(C117="","",ROUND(Q117/1000000,3)&amp;" M€")</f>
        <v/>
      </c>
      <c r="S117" s="19">
</c>
      <c r="T117" s="6" cm="1" t="str">
        <f t="array" ref="T117">IF(C117="","",SUBSTITUTE(S117,"","")&amp;"%")</f>
        <v/>
      </c>
      <c r="U117" s="12" cm="1" t="str">
        <f t="array" ref="U117">IF(($N117="")*($P117=""),"",IF(($N117&lt;&gt;"")*($N117&gt;TODAY()-9)*($N117&lt;TODAY()+1)*($P117&lt;&gt;"")*($P117&gt;=TODAY())*($P117&lt;=TODAY()+13),"Semaine passée &amp; à venir",IF(($N117&lt;&gt;"")*($N117&gt;TODAY()-9)*($N117&lt;TODAY()+1),"Semaine passée",IF(($P117&lt;&gt;"")*($P117&gt;=TODAY())*($P117&lt;=TODAY()+13),"À venir","Autre"))))</f>
        <v/>
      </c>
      <c r="V117" s="5">
</c>
      <c r="W117" s="5">
</c>
      <c r="X117" s="5">
</c>
      <c r="Y117" s="5">
</c>
      <c r="Z117" s="5">
</c>
      <c r="AA117" s="5">
</c>
      <c r="AB117" s="5">
</c>
      <c r="AC117" s="5">
</c>
      <c r="AD117" s="5">
</c>
      <c r="AE117" s="5">
</c>
      <c r="AF117" s="5">
</c>
      <c r="AG117" s="5">
</c>
      <c r="AH117" s="5">
</c>
      <c r="AI117" s="5">
</c>
      <c r="AJ117" s="5">
</c>
      <c r="AK117" s="5">
</c>
    </row>
    <row r="118" ht="65.25" customHeight="1">
      <c r="A118">
</c>
      <c r="B118">
</c>
      <c r="C118" s="16">
</c>
      <c r="D118" s="16">
</c>
      <c r="E118">
</c>
      <c r="F118">
</c>
      <c r="G118" s="6" cm="1" t="str">
        <f t="array" ref="G118">IF(F118="","",SUBSTITUTE(SUBSTITUTE(SUBSTITUTE(SUBSTITUTE(F118,"&lt;li&gt;",CHAR(10)),"&lt;/li&gt;",""),"&lt;br&gt;",CHAR(10)),"&lt;strong&gt;",""))</f>
        <v/>
      </c>
      <c r="H118" s="6" cm="1" t="str">
        <f t="array" ref="H118">IF(G118="","",SUBSTITUTE(SUBSTITUTE(SUBSTITUTE(SUBSTITUTE(SUBSTITUTE(G118,"&lt;p&gt;",""),"&lt;/p&gt;",""),"&lt;ul&gt;",""),"&lt;/ul&gt;",""),"&lt;/strong&gt;",""))</f>
        <v/>
      </c>
      <c r="I118" s="12" cm="1" t="str">
        <f t="array" ref="I118">IF(C118="","",IF(OR(H118="",H118=0,H118=FALSE),"-",H118))</f>
        <v/>
      </c>
      <c r="J118">
</c>
      <c r="K118">
</c>
      <c r="L118" s="6" cm="1" t="str">
        <f t="array" ref="L118">IF(C118="","",IF(K118="Mort / Plus rien à faire","KO","OK"))</f>
        <v/>
      </c>
      <c r="M118" s="17">
</c>
      <c r="N118" s="13" cm="1" t="str">
        <f t="array" ref="N118">IF(OR(C118="",M118="",M118=0),"",M118)</f>
        <v/>
      </c>
      <c r="O118" s="17">
</c>
      <c r="P118" s="13" cm="1" t="str">
        <f t="array" ref="P118">IF(C118="","",IF(OR(O118="",O118=0),"-",O118))</f>
        <v/>
      </c>
      <c r="Q118" s="18">
</c>
      <c r="R118" s="6" cm="1" t="str">
        <f t="array" ref="R118">IF(C118="","",ROUND(Q118/1000000,3)&amp;" M€")</f>
        <v/>
      </c>
      <c r="S118" s="19">
</c>
      <c r="T118" s="6" cm="1" t="str">
        <f t="array" ref="T118">IF(C118="","",SUBSTITUTE(S118,"","")&amp;"%")</f>
        <v/>
      </c>
      <c r="U118" s="12" cm="1" t="str">
        <f t="array" ref="U118">IF(($N118="")*($P118=""),"",IF(($N118&lt;&gt;"")*($N118&gt;TODAY()-9)*($N118&lt;TODAY()+1)*($P118&lt;&gt;"")*($P118&gt;=TODAY())*($P118&lt;=TODAY()+13),"Semaine passée &amp; à venir",IF(($N118&lt;&gt;"")*($N118&gt;TODAY()-9)*($N118&lt;TODAY()+1),"Semaine passée",IF(($P118&lt;&gt;"")*($P118&gt;=TODAY())*($P118&lt;=TODAY()+13),"À venir","Autre"))))</f>
        <v/>
      </c>
      <c r="V118" s="5">
</c>
      <c r="W118" s="5">
</c>
      <c r="X118" s="5">
</c>
      <c r="Y118" s="5">
</c>
      <c r="Z118" s="5">
</c>
      <c r="AA118" s="5">
</c>
      <c r="AB118" s="5">
</c>
      <c r="AC118" s="5">
</c>
      <c r="AD118" s="5">
</c>
      <c r="AE118" s="5">
</c>
      <c r="AF118" s="5">
</c>
      <c r="AG118" s="5">
</c>
      <c r="AH118" s="5">
</c>
      <c r="AI118" s="5">
</c>
      <c r="AJ118" s="5">
</c>
      <c r="AK118" s="5">
</c>
    </row>
    <row r="119" ht="65.25" customHeight="1">
      <c r="A119">
</c>
      <c r="B119">
</c>
      <c r="C119" s="16">
</c>
      <c r="D119" s="16">
</c>
      <c r="E119">
</c>
      <c r="F119">
</c>
      <c r="G119" s="6" cm="1" t="str">
        <f t="array" ref="G119">IF(F119="","",SUBSTITUTE(SUBSTITUTE(SUBSTITUTE(SUBSTITUTE(F119,"&lt;li&gt;",CHAR(10)),"&lt;/li&gt;",""),"&lt;br&gt;",CHAR(10)),"&lt;strong&gt;",""))</f>
        <v/>
      </c>
      <c r="H119" s="6" cm="1" t="str">
        <f t="array" ref="H119">IF(G119="","",SUBSTITUTE(SUBSTITUTE(SUBSTITUTE(SUBSTITUTE(SUBSTITUTE(G119,"&lt;p&gt;",""),"&lt;/p&gt;",""),"&lt;ul&gt;",""),"&lt;/ul&gt;",""),"&lt;/strong&gt;",""))</f>
        <v/>
      </c>
      <c r="I119" s="12" cm="1" t="str">
        <f t="array" ref="I119">IF(C119="","",IF(OR(H119="",H119=0,H119=FALSE),"-",H119))</f>
        <v/>
      </c>
      <c r="J119">
</c>
      <c r="K119">
</c>
      <c r="L119" s="6" cm="1" t="str">
        <f t="array" ref="L119">IF(C119="","",IF(K119="Mort / Plus rien à faire","KO","OK"))</f>
        <v/>
      </c>
      <c r="M119" s="17">
</c>
      <c r="N119" s="13" cm="1" t="str">
        <f t="array" ref="N119">IF(OR(C119="",M119="",M119=0),"",M119)</f>
        <v/>
      </c>
      <c r="O119" s="17">
</c>
      <c r="P119" s="13" cm="1" t="str">
        <f t="array" ref="P119">IF(C119="","",IF(OR(O119="",O119=0),"-",O119))</f>
        <v/>
      </c>
      <c r="Q119" s="18">
</c>
      <c r="R119" s="6" cm="1" t="str">
        <f t="array" ref="R119">IF(C119="","",ROUND(Q119/1000000,3)&amp;" M€")</f>
        <v/>
      </c>
      <c r="S119" s="19">
</c>
      <c r="T119" s="6" cm="1" t="str">
        <f t="array" ref="T119">IF(C119="","",SUBSTITUTE(S119,"","")&amp;"%")</f>
        <v/>
      </c>
      <c r="U119" s="12" cm="1" t="str">
        <f t="array" ref="U119">IF(($N119="")*($P119=""),"",IF(($N119&lt;&gt;"")*($N119&gt;TODAY()-9)*($N119&lt;TODAY()+1)*($P119&lt;&gt;"")*($P119&gt;=TODAY())*($P119&lt;=TODAY()+13),"Semaine passée &amp; à venir",IF(($N119&lt;&gt;"")*($N119&gt;TODAY()-9)*($N119&lt;TODAY()+1),"Semaine passée",IF(($P119&lt;&gt;"")*($P119&gt;=TODAY())*($P119&lt;=TODAY()+13),"À venir","Autre"))))</f>
        <v/>
      </c>
      <c r="V119" s="5">
</c>
      <c r="W119" s="5">
</c>
      <c r="X119" s="5">
</c>
      <c r="Y119" s="5">
</c>
      <c r="Z119" s="5">
</c>
      <c r="AA119" s="5">
</c>
      <c r="AB119" s="5">
</c>
      <c r="AC119" s="5">
</c>
      <c r="AD119" s="5">
</c>
      <c r="AE119" s="5">
</c>
      <c r="AF119" s="5">
</c>
      <c r="AG119" s="5">
</c>
      <c r="AH119" s="5">
</c>
      <c r="AI119" s="5">
</c>
      <c r="AJ119" s="5">
</c>
      <c r="AK119" s="5">
</c>
    </row>
    <row r="120" ht="65.25" customHeight="1">
      <c r="A120">
</c>
      <c r="B120">
</c>
      <c r="C120" s="16">
</c>
      <c r="D120" s="16">
</c>
      <c r="E120">
</c>
      <c r="F120">
</c>
      <c r="G120" s="6" cm="1" t="str">
        <f t="array" ref="G120">IF(F120="","",SUBSTITUTE(SUBSTITUTE(SUBSTITUTE(SUBSTITUTE(F120,"&lt;li&gt;",CHAR(10)),"&lt;/li&gt;",""),"&lt;br&gt;",CHAR(10)),"&lt;strong&gt;",""))</f>
        <v/>
      </c>
      <c r="H120" s="6" cm="1" t="str">
        <f t="array" ref="H120">IF(G120="","",SUBSTITUTE(SUBSTITUTE(SUBSTITUTE(SUBSTITUTE(SUBSTITUTE(G120,"&lt;p&gt;",""),"&lt;/p&gt;",""),"&lt;ul&gt;",""),"&lt;/ul&gt;",""),"&lt;/strong&gt;",""))</f>
        <v/>
      </c>
      <c r="I120" s="12" cm="1" t="str">
        <f t="array" ref="I120">IF(C120="","",IF(OR(H120="",H120=0,H120=FALSE),"-",H120))</f>
        <v/>
      </c>
      <c r="J120">
</c>
      <c r="K120">
</c>
      <c r="L120" s="6" cm="1" t="str">
        <f t="array" ref="L120">IF(C120="","",IF(K120="Mort / Plus rien à faire","KO","OK"))</f>
        <v/>
      </c>
      <c r="M120" s="17">
</c>
      <c r="N120" s="13" cm="1" t="str">
        <f t="array" ref="N120">IF(OR(C120="",M120="",M120=0),"",M120)</f>
        <v/>
      </c>
      <c r="O120" s="17">
</c>
      <c r="P120" s="13" cm="1" t="str">
        <f t="array" ref="P120">IF(C120="","",IF(OR(O120="",O120=0),"-",O120))</f>
        <v/>
      </c>
      <c r="Q120" s="18">
</c>
      <c r="R120" s="6" cm="1" t="str">
        <f t="array" ref="R120">IF(C120="","",ROUND(Q120/1000000,3)&amp;" M€")</f>
        <v/>
      </c>
      <c r="S120" s="19">
</c>
      <c r="T120" s="6" cm="1" t="str">
        <f t="array" ref="T120">IF(C120="","",SUBSTITUTE(S120,"","")&amp;"%")</f>
        <v/>
      </c>
      <c r="U120" s="12" cm="1" t="str">
        <f t="array" ref="U120">IF(($N120="")*($P120=""),"",IF(($N120&lt;&gt;"")*($N120&gt;TODAY()-9)*($N120&lt;TODAY()+1)*($P120&lt;&gt;"")*($P120&gt;=TODAY())*($P120&lt;=TODAY()+13),"Semaine passée &amp; à venir",IF(($N120&lt;&gt;"")*($N120&gt;TODAY()-9)*($N120&lt;TODAY()+1),"Semaine passée",IF(($P120&lt;&gt;"")*($P120&gt;=TODAY())*($P120&lt;=TODAY()+13),"À venir","Autre"))))</f>
        <v/>
      </c>
      <c r="V120" s="5">
</c>
      <c r="W120" s="5">
</c>
      <c r="X120" s="5">
</c>
      <c r="Y120" s="5">
</c>
      <c r="Z120" s="5">
</c>
      <c r="AA120" s="5">
</c>
      <c r="AB120" s="5">
</c>
      <c r="AC120" s="5">
</c>
      <c r="AD120" s="5">
</c>
      <c r="AE120" s="5">
</c>
      <c r="AF120" s="5">
</c>
      <c r="AG120" s="5">
</c>
      <c r="AH120" s="5">
</c>
      <c r="AI120" s="5">
</c>
      <c r="AJ120" s="5">
</c>
      <c r="AK120" s="5">
</c>
    </row>
    <row r="121" ht="65.25" customHeight="1">
      <c r="A121">
</c>
      <c r="B121">
</c>
      <c r="C121" s="16">
</c>
      <c r="D121" s="16">
</c>
      <c r="E121">
</c>
      <c r="F121">
</c>
      <c r="G121" s="6" cm="1" t="str">
        <f t="array" ref="G121">IF(F121="","",SUBSTITUTE(SUBSTITUTE(SUBSTITUTE(SUBSTITUTE(F121,"&lt;li&gt;",CHAR(10)),"&lt;/li&gt;",""),"&lt;br&gt;",CHAR(10)),"&lt;strong&gt;",""))</f>
        <v/>
      </c>
      <c r="H121" s="6" cm="1" t="str">
        <f t="array" ref="H121">IF(G121="","",SUBSTITUTE(SUBSTITUTE(SUBSTITUTE(SUBSTITUTE(SUBSTITUTE(G121,"&lt;p&gt;",""),"&lt;/p&gt;",""),"&lt;ul&gt;",""),"&lt;/ul&gt;",""),"&lt;/strong&gt;",""))</f>
        <v/>
      </c>
      <c r="I121" s="12" cm="1" t="str">
        <f t="array" ref="I121">IF(C121="","",IF(OR(H121="",H121=0,H121=FALSE),"-",H121))</f>
        <v/>
      </c>
      <c r="J121">
</c>
      <c r="K121">
</c>
      <c r="L121" s="6" cm="1" t="str">
        <f t="array" ref="L121">IF(C121="","",IF(K121="Mort / Plus rien à faire","KO","OK"))</f>
        <v/>
      </c>
      <c r="M121" s="17">
</c>
      <c r="N121" s="13" cm="1" t="str">
        <f t="array" ref="N121">IF(OR(C121="",M121="",M121=0),"",M121)</f>
        <v/>
      </c>
      <c r="O121" s="17">
</c>
      <c r="P121" s="13" cm="1" t="str">
        <f t="array" ref="P121">IF(C121="","",IF(OR(O121="",O121=0),"-",O121))</f>
        <v/>
      </c>
      <c r="Q121" s="18">
</c>
      <c r="R121" s="6" cm="1" t="str">
        <f t="array" ref="R121">IF(C121="","",ROUND(Q121/1000000,3)&amp;" M€")</f>
        <v/>
      </c>
      <c r="S121" s="19">
</c>
      <c r="T121" s="6" cm="1" t="str">
        <f t="array" ref="T121">IF(C121="","",SUBSTITUTE(S121,"","")&amp;"%")</f>
        <v/>
      </c>
      <c r="U121" s="12" cm="1" t="str">
        <f t="array" ref="U121">IF(($N121="")*($P121=""),"",IF(($N121&lt;&gt;"")*($N121&gt;TODAY()-9)*($N121&lt;TODAY()+1)*($P121&lt;&gt;"")*($P121&gt;=TODAY())*($P121&lt;=TODAY()+13),"Semaine passée &amp; à venir",IF(($N121&lt;&gt;"")*($N121&gt;TODAY()-9)*($N121&lt;TODAY()+1),"Semaine passée",IF(($P121&lt;&gt;"")*($P121&gt;=TODAY())*($P121&lt;=TODAY()+13),"À venir","Autre"))))</f>
        <v/>
      </c>
      <c r="V121" s="5">
</c>
      <c r="W121" s="5">
</c>
      <c r="X121" s="5">
</c>
      <c r="Y121" s="5">
</c>
      <c r="Z121" s="5">
</c>
      <c r="AA121" s="5">
</c>
      <c r="AB121" s="5">
</c>
      <c r="AC121" s="5">
</c>
      <c r="AD121" s="5">
</c>
      <c r="AE121" s="5">
</c>
      <c r="AF121" s="5">
</c>
      <c r="AG121" s="5">
</c>
      <c r="AH121" s="5">
</c>
      <c r="AI121" s="5">
</c>
      <c r="AJ121" s="5">
</c>
      <c r="AK121" s="5">
</c>
    </row>
    <row r="122" ht="65.25" customHeight="1">
      <c r="A122">
</c>
      <c r="B122">
</c>
      <c r="C122" s="16">
</c>
      <c r="D122" s="16">
</c>
      <c r="E122">
</c>
      <c r="F122">
</c>
      <c r="G122" s="6" cm="1" t="str">
        <f t="array" ref="G122">IF(F122="","",SUBSTITUTE(SUBSTITUTE(SUBSTITUTE(SUBSTITUTE(F122,"&lt;li&gt;",CHAR(10)),"&lt;/li&gt;",""),"&lt;br&gt;",CHAR(10)),"&lt;strong&gt;",""))</f>
        <v/>
      </c>
      <c r="H122" s="6" cm="1" t="str">
        <f t="array" ref="H122">IF(G122="","",SUBSTITUTE(SUBSTITUTE(SUBSTITUTE(SUBSTITUTE(SUBSTITUTE(G122,"&lt;p&gt;",""),"&lt;/p&gt;",""),"&lt;ul&gt;",""),"&lt;/ul&gt;",""),"&lt;/strong&gt;",""))</f>
        <v/>
      </c>
      <c r="I122" s="12" cm="1" t="str">
        <f t="array" ref="I122">IF(C122="","",IF(OR(H122="",H122=0,H122=FALSE),"-",H122))</f>
        <v/>
      </c>
      <c r="J122">
</c>
      <c r="K122">
</c>
      <c r="L122" s="6" cm="1" t="str">
        <f t="array" ref="L122">IF(C122="","",IF(K122="Mort / Plus rien à faire","KO","OK"))</f>
        <v/>
      </c>
      <c r="M122" s="17">
</c>
      <c r="N122" s="13" cm="1" t="str">
        <f t="array" ref="N122">IF(OR(C122="",M122="",M122=0),"",M122)</f>
        <v/>
      </c>
      <c r="O122" s="17">
</c>
      <c r="P122" s="13" cm="1" t="str">
        <f t="array" ref="P122">IF(C122="","",IF(OR(O122="",O122=0),"-",O122))</f>
        <v/>
      </c>
      <c r="Q122" s="18">
</c>
      <c r="R122" s="6" cm="1" t="str">
        <f t="array" ref="R122">IF(C122="","",ROUND(Q122/1000000,3)&amp;" M€")</f>
        <v/>
      </c>
      <c r="S122" s="19">
</c>
      <c r="T122" s="6" cm="1" t="str">
        <f t="array" ref="T122">IF(C122="","",SUBSTITUTE(S122,"","")&amp;"%")</f>
        <v/>
      </c>
      <c r="U122" s="12" cm="1" t="str">
        <f t="array" ref="U122">IF(($N122="")*($P122=""),"",IF(($N122&lt;&gt;"")*($N122&gt;TODAY()-9)*($N122&lt;TODAY()+1)*($P122&lt;&gt;"")*($P122&gt;=TODAY())*($P122&lt;=TODAY()+13),"Semaine passée &amp; à venir",IF(($N122&lt;&gt;"")*($N122&gt;TODAY()-9)*($N122&lt;TODAY()+1),"Semaine passée",IF(($P122&lt;&gt;"")*($P122&gt;=TODAY())*($P122&lt;=TODAY()+13),"À venir","Autre"))))</f>
        <v/>
      </c>
      <c r="V122" s="5">
</c>
      <c r="W122" s="5">
</c>
      <c r="X122" s="5">
</c>
      <c r="Y122" s="5">
</c>
      <c r="Z122" s="5">
</c>
      <c r="AA122" s="5">
</c>
      <c r="AB122" s="5">
</c>
      <c r="AC122" s="5">
</c>
      <c r="AD122" s="5">
</c>
      <c r="AE122" s="5">
</c>
      <c r="AF122" s="5">
</c>
      <c r="AG122" s="5">
</c>
      <c r="AH122" s="5">
</c>
      <c r="AI122" s="5">
</c>
      <c r="AJ122" s="5">
</c>
      <c r="AK122" s="5">
</c>
    </row>
    <row r="123" ht="65.25" customHeight="1">
      <c r="A123">
</c>
      <c r="B123">
</c>
      <c r="C123" s="16">
</c>
      <c r="D123" s="16">
</c>
      <c r="E123">
</c>
      <c r="F123">
</c>
      <c r="G123" s="6" cm="1" t="str">
        <f t="array" ref="G123">IF(F123="","",SUBSTITUTE(SUBSTITUTE(SUBSTITUTE(SUBSTITUTE(F123,"&lt;li&gt;",CHAR(10)),"&lt;/li&gt;",""),"&lt;br&gt;",CHAR(10)),"&lt;strong&gt;",""))</f>
        <v/>
      </c>
      <c r="H123" s="6" cm="1" t="str">
        <f t="array" ref="H123">IF(G123="","",SUBSTITUTE(SUBSTITUTE(SUBSTITUTE(SUBSTITUTE(SUBSTITUTE(G123,"&lt;p&gt;",""),"&lt;/p&gt;",""),"&lt;ul&gt;",""),"&lt;/ul&gt;",""),"&lt;/strong&gt;",""))</f>
        <v/>
      </c>
      <c r="I123" s="12" cm="1" t="str">
        <f t="array" ref="I123">IF(C123="","",IF(OR(H123="",H123=0,H123=FALSE),"-",H123))</f>
        <v/>
      </c>
      <c r="J123">
</c>
      <c r="K123">
</c>
      <c r="L123" s="6" cm="1" t="str">
        <f t="array" ref="L123">IF(C123="","",IF(K123="Mort / Plus rien à faire","KO","OK"))</f>
        <v/>
      </c>
      <c r="M123" s="17">
</c>
      <c r="N123" s="13" cm="1" t="str">
        <f t="array" ref="N123">IF(OR(C123="",M123="",M123=0),"",M123)</f>
        <v/>
      </c>
      <c r="O123" s="17">
</c>
      <c r="P123" s="13" cm="1" t="str">
        <f t="array" ref="P123">IF(C123="","",IF(OR(O123="",O123=0),"-",O123))</f>
        <v/>
      </c>
      <c r="Q123" s="18">
</c>
      <c r="R123" s="6" cm="1" t="str">
        <f t="array" ref="R123">IF(C123="","",ROUND(Q123/1000000,3)&amp;" M€")</f>
        <v/>
      </c>
      <c r="S123" s="19">
</c>
      <c r="T123" s="6" cm="1" t="str">
        <f t="array" ref="T123">IF(C123="","",SUBSTITUTE(S123,"","")&amp;"%")</f>
        <v/>
      </c>
      <c r="U123" s="12" cm="1" t="str">
        <f t="array" ref="U123">IF(($N123="")*($P123=""),"",IF(($N123&lt;&gt;"")*($N123&gt;TODAY()-9)*($N123&lt;TODAY()+1)*($P123&lt;&gt;"")*($P123&gt;=TODAY())*($P123&lt;=TODAY()+13),"Semaine passée &amp; à venir",IF(($N123&lt;&gt;"")*($N123&gt;TODAY()-9)*($N123&lt;TODAY()+1),"Semaine passée",IF(($P123&lt;&gt;"")*($P123&gt;=TODAY())*($P123&lt;=TODAY()+13),"À venir","Autre"))))</f>
        <v/>
      </c>
      <c r="V123" s="5">
</c>
      <c r="W123" s="5">
</c>
      <c r="X123" s="5">
</c>
      <c r="Y123" s="5">
</c>
      <c r="Z123" s="5">
</c>
      <c r="AA123" s="5">
</c>
      <c r="AB123" s="5">
</c>
      <c r="AC123" s="5">
</c>
      <c r="AD123" s="5">
</c>
      <c r="AE123" s="5">
</c>
      <c r="AF123" s="5">
</c>
      <c r="AG123" s="5">
</c>
      <c r="AH123" s="5">
</c>
      <c r="AI123" s="5">
</c>
      <c r="AJ123" s="5">
</c>
      <c r="AK123" s="5">
</c>
    </row>
    <row r="124" ht="65.25" customHeight="1">
      <c r="A124">
</c>
      <c r="B124">
</c>
      <c r="C124" s="16">
</c>
      <c r="D124" s="16">
</c>
      <c r="E124">
</c>
      <c r="F124">
</c>
      <c r="G124" s="6" cm="1" t="str">
        <f t="array" ref="G124">IF(F124="","",SUBSTITUTE(SUBSTITUTE(SUBSTITUTE(SUBSTITUTE(F124,"&lt;li&gt;",CHAR(10)),"&lt;/li&gt;",""),"&lt;br&gt;",CHAR(10)),"&lt;strong&gt;",""))</f>
        <v/>
      </c>
      <c r="H124" s="6" cm="1" t="str">
        <f t="array" ref="H124">IF(G124="","",SUBSTITUTE(SUBSTITUTE(SUBSTITUTE(SUBSTITUTE(SUBSTITUTE(G124,"&lt;p&gt;",""),"&lt;/p&gt;",""),"&lt;ul&gt;",""),"&lt;/ul&gt;",""),"&lt;/strong&gt;",""))</f>
        <v/>
      </c>
      <c r="I124" s="12" cm="1" t="str">
        <f t="array" ref="I124">IF(C124="","",IF(OR(H124="",H124=0,H124=FALSE),"-",H124))</f>
        <v/>
      </c>
      <c r="J124">
</c>
      <c r="K124">
</c>
      <c r="L124" s="6" cm="1" t="str">
        <f t="array" ref="L124">IF(C124="","",IF(K124="Mort / Plus rien à faire","KO","OK"))</f>
        <v/>
      </c>
      <c r="M124" s="17">
</c>
      <c r="N124" s="13" cm="1" t="str">
        <f t="array" ref="N124">IF(OR(C124="",M124="",M124=0),"",M124)</f>
        <v/>
      </c>
      <c r="O124" s="17">
</c>
      <c r="P124" s="13" cm="1" t="str">
        <f t="array" ref="P124">IF(C124="","",IF(OR(O124="",O124=0),"-",O124))</f>
        <v/>
      </c>
      <c r="Q124" s="18">
</c>
      <c r="R124" s="6" cm="1" t="str">
        <f t="array" ref="R124">IF(C124="","",ROUND(Q124/1000000,3)&amp;" M€")</f>
        <v/>
      </c>
      <c r="S124" s="19">
</c>
      <c r="T124" s="6" cm="1" t="str">
        <f t="array" ref="T124">IF(C124="","",SUBSTITUTE(S124,"","")&amp;"%")</f>
        <v/>
      </c>
      <c r="U124" s="12" cm="1" t="str">
        <f t="array" ref="U124">IF(($N124="")*($P124=""),"",IF(($N124&lt;&gt;"")*($N124&gt;TODAY()-9)*($N124&lt;TODAY()+1)*($P124&lt;&gt;"")*($P124&gt;=TODAY())*($P124&lt;=TODAY()+13),"Semaine passée &amp; à venir",IF(($N124&lt;&gt;"")*($N124&gt;TODAY()-9)*($N124&lt;TODAY()+1),"Semaine passée",IF(($P124&lt;&gt;"")*($P124&gt;=TODAY())*($P124&lt;=TODAY()+13),"À venir","Autre"))))</f>
        <v/>
      </c>
      <c r="V124" s="5">
</c>
      <c r="W124" s="5">
</c>
      <c r="X124" s="5">
</c>
      <c r="Y124" s="5">
</c>
      <c r="Z124" s="5">
</c>
      <c r="AA124" s="5">
</c>
      <c r="AB124" s="5">
</c>
      <c r="AC124" s="5">
</c>
      <c r="AD124" s="5">
</c>
      <c r="AE124" s="5">
</c>
      <c r="AF124" s="5">
</c>
      <c r="AG124" s="5">
</c>
      <c r="AH124" s="5">
</c>
      <c r="AI124" s="5">
</c>
      <c r="AJ124" s="5">
</c>
      <c r="AK124" s="5">
</c>
    </row>
    <row r="125" ht="65.25" customHeight="1">
      <c r="A125">
</c>
      <c r="B125">
</c>
      <c r="C125" s="16">
</c>
      <c r="D125" s="16">
</c>
      <c r="E125">
</c>
      <c r="F125">
</c>
      <c r="G125" s="6" cm="1" t="str">
        <f t="array" ref="G125">IF(F125="","",SUBSTITUTE(SUBSTITUTE(SUBSTITUTE(SUBSTITUTE(F125,"&lt;li&gt;",CHAR(10)),"&lt;/li&gt;",""),"&lt;br&gt;",CHAR(10)),"&lt;strong&gt;",""))</f>
        <v/>
      </c>
      <c r="H125" s="6" cm="1" t="str">
        <f t="array" ref="H125">IF(G125="","",SUBSTITUTE(SUBSTITUTE(SUBSTITUTE(SUBSTITUTE(SUBSTITUTE(G125,"&lt;p&gt;",""),"&lt;/p&gt;",""),"&lt;ul&gt;",""),"&lt;/ul&gt;",""),"&lt;/strong&gt;",""))</f>
        <v/>
      </c>
      <c r="I125" s="12" cm="1" t="str">
        <f t="array" ref="I125">IF(C125="","",IF(OR(H125="",H125=0,H125=FALSE),"-",H125))</f>
        <v/>
      </c>
      <c r="J125">
</c>
      <c r="K125">
</c>
      <c r="L125" s="6" cm="1" t="str">
        <f t="array" ref="L125">IF(C125="","",IF(K125="Mort / Plus rien à faire","KO","OK"))</f>
        <v/>
      </c>
      <c r="M125" s="17">
</c>
      <c r="N125" s="13" cm="1" t="str">
        <f t="array" ref="N125">IF(OR(C125="",M125="",M125=0),"",M125)</f>
        <v/>
      </c>
      <c r="O125" s="17">
</c>
      <c r="P125" s="13" cm="1" t="str">
        <f t="array" ref="P125">IF(C125="","",IF(OR(O125="",O125=0),"-",O125))</f>
        <v/>
      </c>
      <c r="Q125" s="18">
</c>
      <c r="R125" s="6" cm="1" t="str">
        <f t="array" ref="R125">IF(C125="","",ROUND(Q125/1000000,3)&amp;" M€")</f>
        <v/>
      </c>
      <c r="S125" s="19">
</c>
      <c r="T125" s="6" cm="1" t="str">
        <f t="array" ref="T125">IF(C125="","",SUBSTITUTE(S125,"","")&amp;"%")</f>
        <v/>
      </c>
      <c r="U125" s="12" cm="1" t="str">
        <f t="array" ref="U125">IF(($N125="")*($P125=""),"",IF(($N125&lt;&gt;"")*($N125&gt;TODAY()-9)*($N125&lt;TODAY()+1)*($P125&lt;&gt;"")*($P125&gt;=TODAY())*($P125&lt;=TODAY()+13),"Semaine passée &amp; à venir",IF(($N125&lt;&gt;"")*($N125&gt;TODAY()-9)*($N125&lt;TODAY()+1),"Semaine passée",IF(($P125&lt;&gt;"")*($P125&gt;=TODAY())*($P125&lt;=TODAY()+13),"À venir","Autre"))))</f>
        <v/>
      </c>
      <c r="V125" s="5">
</c>
      <c r="W125" s="5">
</c>
      <c r="X125" s="5">
</c>
      <c r="Y125" s="5">
</c>
      <c r="Z125" s="5">
</c>
      <c r="AA125" s="5">
</c>
      <c r="AB125" s="5">
</c>
      <c r="AC125" s="5">
</c>
      <c r="AD125" s="5">
</c>
      <c r="AE125" s="5">
</c>
      <c r="AF125" s="5">
</c>
      <c r="AG125" s="5">
</c>
      <c r="AH125" s="5">
</c>
      <c r="AI125" s="5">
</c>
      <c r="AJ125" s="5">
</c>
      <c r="AK125" s="5">
</c>
    </row>
    <row r="126" ht="65.25" customHeight="1">
      <c r="A126">
</c>
      <c r="B126">
</c>
      <c r="C126" s="16">
</c>
      <c r="D126" s="16">
</c>
      <c r="E126">
</c>
      <c r="F126">
</c>
      <c r="G126" s="6" cm="1" t="str">
        <f t="array" ref="G126">IF(F126="","",SUBSTITUTE(SUBSTITUTE(SUBSTITUTE(SUBSTITUTE(F126,"&lt;li&gt;",CHAR(10)),"&lt;/li&gt;",""),"&lt;br&gt;",CHAR(10)),"&lt;strong&gt;",""))</f>
        <v/>
      </c>
      <c r="H126" s="6" cm="1" t="str">
        <f t="array" ref="H126">IF(G126="","",SUBSTITUTE(SUBSTITUTE(SUBSTITUTE(SUBSTITUTE(SUBSTITUTE(G126,"&lt;p&gt;",""),"&lt;/p&gt;",""),"&lt;ul&gt;",""),"&lt;/ul&gt;",""),"&lt;/strong&gt;",""))</f>
        <v/>
      </c>
      <c r="I126" s="12" cm="1" t="str">
        <f t="array" ref="I126">IF(C126="","",IF(OR(H126="",H126=0,H126=FALSE),"-",H126))</f>
        <v/>
      </c>
      <c r="J126">
</c>
      <c r="K126">
</c>
      <c r="L126" s="6" cm="1" t="str">
        <f t="array" ref="L126">IF(C126="","",IF(K126="Mort / Plus rien à faire","KO","OK"))</f>
        <v/>
      </c>
      <c r="M126" s="17">
</c>
      <c r="N126" s="13" cm="1" t="str">
        <f t="array" ref="N126">IF(OR(C126="",M126="",M126=0),"",M126)</f>
        <v/>
      </c>
      <c r="O126" s="17">
</c>
      <c r="P126" s="13" cm="1" t="str">
        <f t="array" ref="P126">IF(C126="","",IF(OR(O126="",O126=0),"-",O126))</f>
        <v/>
      </c>
      <c r="Q126" s="18">
</c>
      <c r="R126" s="6" cm="1" t="str">
        <f t="array" ref="R126">IF(C126="","",ROUND(Q126/1000000,3)&amp;" M€")</f>
        <v/>
      </c>
      <c r="S126" s="19">
</c>
      <c r="T126" s="6" cm="1" t="str">
        <f t="array" ref="T126">IF(C126="","",SUBSTITUTE(S126,"","")&amp;"%")</f>
        <v/>
      </c>
      <c r="U126" s="12" cm="1" t="str">
        <f t="array" ref="U126">IF(($N126="")*($P126=""),"",IF(($N126&lt;&gt;"")*($N126&gt;TODAY()-9)*($N126&lt;TODAY()+1)*($P126&lt;&gt;"")*($P126&gt;=TODAY())*($P126&lt;=TODAY()+13),"Semaine passée &amp; à venir",IF(($N126&lt;&gt;"")*($N126&gt;TODAY()-9)*($N126&lt;TODAY()+1),"Semaine passée",IF(($P126&lt;&gt;"")*($P126&gt;=TODAY())*($P126&lt;=TODAY()+13),"À venir","Autre"))))</f>
        <v/>
      </c>
      <c r="V126" s="5">
</c>
      <c r="W126" s="5">
</c>
      <c r="X126" s="5">
</c>
      <c r="Y126" s="5">
</c>
      <c r="Z126" s="5">
</c>
      <c r="AA126" s="5">
</c>
      <c r="AB126" s="5">
</c>
      <c r="AC126" s="5">
</c>
      <c r="AD126" s="5">
</c>
      <c r="AE126" s="5">
</c>
      <c r="AF126" s="5">
</c>
      <c r="AG126" s="5">
</c>
      <c r="AH126" s="5">
</c>
      <c r="AI126" s="5">
</c>
      <c r="AJ126" s="5">
</c>
      <c r="AK126" s="5">
</c>
    </row>
    <row r="127" ht="65.25" customHeight="1">
      <c r="A127">
</c>
      <c r="B127">
</c>
      <c r="C127" s="16">
</c>
      <c r="D127" s="16">
</c>
      <c r="E127">
</c>
      <c r="F127">
</c>
      <c r="G127" s="6" cm="1" t="str">
        <f t="array" ref="G127">IF(F127="","",SUBSTITUTE(SUBSTITUTE(SUBSTITUTE(SUBSTITUTE(F127,"&lt;li&gt;",CHAR(10)),"&lt;/li&gt;",""),"&lt;br&gt;",CHAR(10)),"&lt;strong&gt;",""))</f>
        <v/>
      </c>
      <c r="H127" s="6" cm="1" t="str">
        <f t="array" ref="H127">IF(G127="","",SUBSTITUTE(SUBSTITUTE(SUBSTITUTE(SUBSTITUTE(SUBSTITUTE(G127,"&lt;p&gt;",""),"&lt;/p&gt;",""),"&lt;ul&gt;",""),"&lt;/ul&gt;",""),"&lt;/strong&gt;",""))</f>
        <v/>
      </c>
      <c r="I127" s="12" cm="1" t="str">
        <f t="array" ref="I127">IF(C127="","",IF(OR(H127="",H127=0,H127=FALSE),"-",H127))</f>
        <v/>
      </c>
      <c r="J127">
</c>
      <c r="K127">
</c>
      <c r="L127" s="6" cm="1" t="str">
        <f t="array" ref="L127">IF(C127="","",IF(K127="Mort / Plus rien à faire","KO","OK"))</f>
        <v/>
      </c>
      <c r="M127" s="17">
</c>
      <c r="N127" s="13" cm="1" t="str">
        <f t="array" ref="N127">IF(OR(C127="",M127="",M127=0),"",M127)</f>
        <v/>
      </c>
      <c r="O127" s="17">
</c>
      <c r="P127" s="13" cm="1" t="str">
        <f t="array" ref="P127">IF(C127="","",IF(OR(O127="",O127=0),"-",O127))</f>
        <v/>
      </c>
      <c r="Q127" s="18">
</c>
      <c r="R127" s="6" cm="1" t="str">
        <f t="array" ref="R127">IF(C127="","",ROUND(Q127/1000000,3)&amp;" M€")</f>
        <v/>
      </c>
      <c r="S127" s="19">
</c>
      <c r="T127" s="6" cm="1" t="str">
        <f t="array" ref="T127">IF(C127="","",SUBSTITUTE(S127,"","")&amp;"%")</f>
        <v/>
      </c>
      <c r="U127" s="12" cm="1" t="str">
        <f t="array" ref="U127">IF(($N127="")*($P127=""),"",IF(($N127&lt;&gt;"")*($N127&gt;TODAY()-9)*($N127&lt;TODAY()+1)*($P127&lt;&gt;"")*($P127&gt;=TODAY())*($P127&lt;=TODAY()+13),"Semaine passée &amp; à venir",IF(($N127&lt;&gt;"")*($N127&gt;TODAY()-9)*($N127&lt;TODAY()+1),"Semaine passée",IF(($P127&lt;&gt;"")*($P127&gt;=TODAY())*($P127&lt;=TODAY()+13),"À venir","Autre"))))</f>
        <v/>
      </c>
      <c r="V127" s="5">
</c>
      <c r="W127" s="5">
</c>
      <c r="X127" s="5">
</c>
      <c r="Y127" s="5">
</c>
      <c r="Z127" s="5">
</c>
      <c r="AA127" s="5">
</c>
      <c r="AB127" s="5">
</c>
      <c r="AC127" s="5">
</c>
      <c r="AD127" s="5">
</c>
      <c r="AE127" s="5">
</c>
      <c r="AF127" s="5">
</c>
      <c r="AG127" s="5">
</c>
      <c r="AH127" s="5">
</c>
      <c r="AI127" s="5">
</c>
      <c r="AJ127" s="5">
</c>
      <c r="AK127" s="5">
</c>
    </row>
    <row r="128" ht="65.25" customHeight="1">
      <c r="A128">
</c>
      <c r="B128">
</c>
      <c r="C128" s="16">
</c>
      <c r="D128" s="16">
</c>
      <c r="E128">
</c>
      <c r="F128">
</c>
      <c r="G128" s="6" cm="1" t="str">
        <f t="array" ref="G128">IF(F128="","",SUBSTITUTE(SUBSTITUTE(SUBSTITUTE(SUBSTITUTE(F128,"&lt;li&gt;",CHAR(10)),"&lt;/li&gt;",""),"&lt;br&gt;",CHAR(10)),"&lt;strong&gt;",""))</f>
        <v/>
      </c>
      <c r="H128" s="6" cm="1" t="str">
        <f t="array" ref="H128">IF(G128="","",SUBSTITUTE(SUBSTITUTE(SUBSTITUTE(SUBSTITUTE(SUBSTITUTE(G128,"&lt;p&gt;",""),"&lt;/p&gt;",""),"&lt;ul&gt;",""),"&lt;/ul&gt;",""),"&lt;/strong&gt;",""))</f>
        <v/>
      </c>
      <c r="I128" s="12" cm="1" t="str">
        <f t="array" ref="I128">IF(C128="","",IF(OR(H128="",H128=0,H128=FALSE),"-",H128))</f>
        <v/>
      </c>
      <c r="J128">
</c>
      <c r="K128">
</c>
      <c r="L128" s="6" cm="1" t="str">
        <f t="array" ref="L128">IF(C128="","",IF(K128="Mort / Plus rien à faire","KO","OK"))</f>
        <v/>
      </c>
      <c r="M128" s="17">
</c>
      <c r="N128" s="13" cm="1" t="str">
        <f t="array" ref="N128">IF(OR(C128="",M128="",M128=0),"",M128)</f>
        <v/>
      </c>
      <c r="O128" s="17">
</c>
      <c r="P128" s="13" cm="1" t="str">
        <f t="array" ref="P128">IF(C128="","",IF(OR(O128="",O128=0),"-",O128))</f>
        <v/>
      </c>
      <c r="Q128" s="18">
</c>
      <c r="R128" s="6" cm="1" t="str">
        <f t="array" ref="R128">IF(C128="","",ROUND(Q128/1000000,3)&amp;" M€")</f>
        <v/>
      </c>
      <c r="S128" s="19">
</c>
      <c r="T128" s="6" cm="1" t="str">
        <f t="array" ref="T128">IF(C128="","",SUBSTITUTE(S128,"","")&amp;"%")</f>
        <v/>
      </c>
      <c r="U128" s="12" cm="1" t="str">
        <f t="array" ref="U128">IF(($N128="")*($P128=""),"",IF(($N128&lt;&gt;"")*($N128&gt;TODAY()-9)*($N128&lt;TODAY()+1)*($P128&lt;&gt;"")*($P128&gt;=TODAY())*($P128&lt;=TODAY()+13),"Semaine passée &amp; à venir",IF(($N128&lt;&gt;"")*($N128&gt;TODAY()-9)*($N128&lt;TODAY()+1),"Semaine passée",IF(($P128&lt;&gt;"")*($P128&gt;=TODAY())*($P128&lt;=TODAY()+13),"À venir","Autre"))))</f>
        <v/>
      </c>
      <c r="V128" s="5">
</c>
      <c r="W128" s="5">
</c>
      <c r="X128" s="5">
</c>
      <c r="Y128" s="5">
</c>
      <c r="Z128" s="5">
</c>
      <c r="AA128" s="5">
</c>
      <c r="AB128" s="5">
</c>
      <c r="AC128" s="5">
</c>
      <c r="AD128" s="5">
</c>
      <c r="AE128" s="5">
</c>
      <c r="AF128" s="5">
</c>
      <c r="AG128" s="5">
</c>
      <c r="AH128" s="5">
</c>
      <c r="AI128" s="5">
</c>
      <c r="AJ128" s="5">
</c>
      <c r="AK128" s="5">
</c>
    </row>
    <row r="129" ht="65.25" customHeight="1">
      <c r="A129">
</c>
      <c r="B129">
</c>
      <c r="C129" s="16">
</c>
      <c r="D129" s="16">
</c>
      <c r="E129">
</c>
      <c r="F129">
</c>
      <c r="G129" s="6" cm="1" t="str">
        <f t="array" ref="G129">IF(F129="","",SUBSTITUTE(SUBSTITUTE(SUBSTITUTE(SUBSTITUTE(F129,"&lt;li&gt;",CHAR(10)),"&lt;/li&gt;",""),"&lt;br&gt;",CHAR(10)),"&lt;strong&gt;",""))</f>
        <v/>
      </c>
      <c r="H129" s="6" cm="1" t="str">
        <f t="array" ref="H129">IF(G129="","",SUBSTITUTE(SUBSTITUTE(SUBSTITUTE(SUBSTITUTE(SUBSTITUTE(G129,"&lt;p&gt;",""),"&lt;/p&gt;",""),"&lt;ul&gt;",""),"&lt;/ul&gt;",""),"&lt;/strong&gt;",""))</f>
        <v/>
      </c>
      <c r="I129" s="12" cm="1" t="str">
        <f t="array" ref="I129">IF(C129="","",IF(OR(H129="",H129=0,H129=FALSE),"-",H129))</f>
        <v/>
      </c>
      <c r="J129">
</c>
      <c r="K129">
</c>
      <c r="L129" s="6" cm="1" t="str">
        <f t="array" ref="L129">IF(C129="","",IF(K129="Mort / Plus rien à faire","KO","OK"))</f>
        <v/>
      </c>
      <c r="M129" s="17">
</c>
      <c r="N129" s="13" cm="1" t="str">
        <f t="array" ref="N129">IF(OR(C129="",M129="",M129=0),"",M129)</f>
        <v/>
      </c>
      <c r="O129" s="17">
</c>
      <c r="P129" s="13" cm="1" t="str">
        <f t="array" ref="P129">IF(C129="","",IF(OR(O129="",O129=0),"-",O129))</f>
        <v/>
      </c>
      <c r="Q129" s="18">
</c>
      <c r="R129" s="6" cm="1" t="str">
        <f t="array" ref="R129">IF(C129="","",ROUND(Q129/1000000,3)&amp;" M€")</f>
        <v/>
      </c>
      <c r="S129" s="19">
</c>
      <c r="T129" s="6" cm="1" t="str">
        <f t="array" ref="T129">IF(C129="","",SUBSTITUTE(S129,"","")&amp;"%")</f>
        <v/>
      </c>
      <c r="U129" s="12" cm="1" t="str">
        <f t="array" ref="U129">IF(($N129="")*($P129=""),"",IF(($N129&lt;&gt;"")*($N129&gt;TODAY()-9)*($N129&lt;TODAY()+1)*($P129&lt;&gt;"")*($P129&gt;=TODAY())*($P129&lt;=TODAY()+13),"Semaine passée &amp; à venir",IF(($N129&lt;&gt;"")*($N129&gt;TODAY()-9)*($N129&lt;TODAY()+1),"Semaine passée",IF(($P129&lt;&gt;"")*($P129&gt;=TODAY())*($P129&lt;=TODAY()+13),"À venir","Autre"))))</f>
        <v/>
      </c>
      <c r="V129" s="5">
</c>
      <c r="W129" s="5">
</c>
      <c r="X129" s="5">
</c>
      <c r="Y129" s="5">
</c>
      <c r="Z129" s="5">
</c>
      <c r="AA129" s="5">
</c>
      <c r="AB129" s="5">
</c>
      <c r="AC129" s="5">
</c>
      <c r="AD129" s="5">
</c>
      <c r="AE129" s="5">
</c>
      <c r="AF129" s="5">
</c>
      <c r="AG129" s="5">
</c>
      <c r="AH129" s="5">
</c>
      <c r="AI129" s="5">
</c>
      <c r="AJ129" s="5">
</c>
      <c r="AK129" s="5">
</c>
    </row>
    <row r="130" ht="65.25" customHeight="1">
      <c r="A130">
</c>
      <c r="B130">
</c>
      <c r="C130" s="16">
</c>
      <c r="D130" s="16">
</c>
      <c r="E130">
</c>
      <c r="F130">
</c>
      <c r="G130" s="6" cm="1" t="str">
        <f t="array" ref="G130">IF(F130="","",SUBSTITUTE(SUBSTITUTE(SUBSTITUTE(SUBSTITUTE(F130,"&lt;li&gt;",CHAR(10)),"&lt;/li&gt;",""),"&lt;br&gt;",CHAR(10)),"&lt;strong&gt;",""))</f>
        <v/>
      </c>
      <c r="H130" s="6" cm="1" t="str">
        <f t="array" ref="H130">IF(G130="","",SUBSTITUTE(SUBSTITUTE(SUBSTITUTE(SUBSTITUTE(SUBSTITUTE(G130,"&lt;p&gt;",""),"&lt;/p&gt;",""),"&lt;ul&gt;",""),"&lt;/ul&gt;",""),"&lt;/strong&gt;",""))</f>
        <v/>
      </c>
      <c r="I130" s="12" cm="1" t="str">
        <f t="array" ref="I130">IF(C130="","",IF(OR(H130="",H130=0,H130=FALSE),"-",H130))</f>
        <v/>
      </c>
      <c r="J130">
</c>
      <c r="K130">
</c>
      <c r="L130" s="6" cm="1" t="str">
        <f t="array" ref="L130">IF(C130="","",IF(K130="Mort / Plus rien à faire","KO","OK"))</f>
        <v/>
      </c>
      <c r="M130" s="17">
</c>
      <c r="N130" s="13" cm="1" t="str">
        <f t="array" ref="N130">IF(OR(C130="",M130="",M130=0),"",M130)</f>
        <v/>
      </c>
      <c r="O130" s="17">
</c>
      <c r="P130" s="13" cm="1" t="str">
        <f t="array" ref="P130">IF(C130="","",IF(OR(O130="",O130=0),"-",O130))</f>
        <v/>
      </c>
      <c r="Q130" s="18">
</c>
      <c r="R130" s="6" cm="1" t="str">
        <f t="array" ref="R130">IF(C130="","",ROUND(Q130/1000000,3)&amp;" M€")</f>
        <v/>
      </c>
      <c r="S130" s="19">
</c>
      <c r="T130" s="6" cm="1" t="str">
        <f t="array" ref="T130">IF(C130="","",SUBSTITUTE(S130,"","")&amp;"%")</f>
        <v/>
      </c>
      <c r="U130" s="12" cm="1" t="str">
        <f t="array" ref="U130">IF(($N130="")*($P130=""),"",IF(($N130&lt;&gt;"")*($N130&gt;TODAY()-9)*($N130&lt;TODAY()+1)*($P130&lt;&gt;"")*($P130&gt;=TODAY())*($P130&lt;=TODAY()+13),"Semaine passée &amp; à venir",IF(($N130&lt;&gt;"")*($N130&gt;TODAY()-9)*($N130&lt;TODAY()+1),"Semaine passée",IF(($P130&lt;&gt;"")*($P130&gt;=TODAY())*($P130&lt;=TODAY()+13),"À venir","Autre"))))</f>
        <v/>
      </c>
      <c r="V130" s="5">
</c>
      <c r="W130" s="5">
</c>
      <c r="X130" s="5">
</c>
      <c r="Y130" s="5">
</c>
      <c r="Z130" s="5">
</c>
      <c r="AA130" s="5">
</c>
      <c r="AB130" s="5">
</c>
      <c r="AC130" s="5">
</c>
      <c r="AD130" s="5">
</c>
      <c r="AE130" s="5">
</c>
      <c r="AF130" s="5">
</c>
      <c r="AG130" s="5">
</c>
      <c r="AH130" s="5">
</c>
      <c r="AI130" s="5">
</c>
      <c r="AJ130" s="5">
</c>
      <c r="AK130" s="5">
</c>
    </row>
    <row r="131" ht="65.25" customHeight="1">
      <c r="A131">
</c>
      <c r="B131">
</c>
      <c r="C131" s="16">
</c>
      <c r="D131" s="16">
</c>
      <c r="E131">
</c>
      <c r="F131">
</c>
      <c r="G131" s="6" cm="1" t="str">
        <f t="array" ref="G131">IF(F131="","",SUBSTITUTE(SUBSTITUTE(SUBSTITUTE(SUBSTITUTE(F131,"&lt;li&gt;",CHAR(10)),"&lt;/li&gt;",""),"&lt;br&gt;",CHAR(10)),"&lt;strong&gt;",""))</f>
        <v/>
      </c>
      <c r="H131" s="6" cm="1" t="str">
        <f t="array" ref="H131">IF(G131="","",SUBSTITUTE(SUBSTITUTE(SUBSTITUTE(SUBSTITUTE(SUBSTITUTE(G131,"&lt;p&gt;",""),"&lt;/p&gt;",""),"&lt;ul&gt;",""),"&lt;/ul&gt;",""),"&lt;/strong&gt;",""))</f>
        <v/>
      </c>
      <c r="I131" s="12" cm="1" t="str">
        <f t="array" ref="I131">IF(C131="","",IF(OR(H131="",H131=0,H131=FALSE),"-",H131))</f>
        <v/>
      </c>
      <c r="J131">
</c>
      <c r="K131">
</c>
      <c r="L131" s="6" cm="1" t="str">
        <f t="array" ref="L131">IF(C131="","",IF(K131="Mort / Plus rien à faire","KO","OK"))</f>
        <v/>
      </c>
      <c r="M131" s="17">
</c>
      <c r="N131" s="13" cm="1" t="str">
        <f t="array" ref="N131">IF(OR(C131="",M131="",M131=0),"",M131)</f>
        <v/>
      </c>
      <c r="O131" s="17">
</c>
      <c r="P131" s="13" cm="1" t="str">
        <f t="array" ref="P131">IF(C131="","",IF(OR(O131="",O131=0),"-",O131))</f>
        <v/>
      </c>
      <c r="Q131" s="18">
</c>
      <c r="R131" s="6" cm="1" t="str">
        <f t="array" ref="R131">IF(C131="","",ROUND(Q131/1000000,3)&amp;" M€")</f>
        <v/>
      </c>
      <c r="S131" s="19">
</c>
      <c r="T131" s="6" cm="1" t="str">
        <f t="array" ref="T131">IF(C131="","",SUBSTITUTE(S131,"","")&amp;"%")</f>
        <v/>
      </c>
      <c r="U131" s="12" cm="1" t="str">
        <f t="array" ref="U131">IF(($N131="")*($P131=""),"",IF(($N131&lt;&gt;"")*($N131&gt;TODAY()-9)*($N131&lt;TODAY()+1)*($P131&lt;&gt;"")*($P131&gt;=TODAY())*($P131&lt;=TODAY()+13),"Semaine passée &amp; à venir",IF(($N131&lt;&gt;"")*($N131&gt;TODAY()-9)*($N131&lt;TODAY()+1),"Semaine passée",IF(($P131&lt;&gt;"")*($P131&gt;=TODAY())*($P131&lt;=TODAY()+13),"À venir","Autre"))))</f>
        <v/>
      </c>
      <c r="V131" s="5">
</c>
      <c r="W131" s="5">
</c>
      <c r="X131" s="5">
</c>
      <c r="Y131" s="5">
</c>
      <c r="Z131" s="5">
</c>
      <c r="AA131" s="5">
</c>
      <c r="AB131" s="5">
</c>
      <c r="AC131" s="5">
</c>
      <c r="AD131" s="5">
</c>
      <c r="AE131" s="5">
</c>
      <c r="AF131" s="5">
</c>
      <c r="AG131" s="5">
</c>
      <c r="AH131" s="5">
</c>
      <c r="AI131" s="5">
</c>
      <c r="AJ131" s="5">
</c>
      <c r="AK131" s="5">
</c>
    </row>
    <row r="132" ht="65.25" customHeight="1">
      <c r="A132">
</c>
      <c r="B132">
</c>
      <c r="C132" s="16">
</c>
      <c r="D132" s="16">
</c>
      <c r="E132">
</c>
      <c r="F132">
</c>
      <c r="G132" s="6" cm="1" t="str">
        <f t="array" ref="G132">IF(F132="","",SUBSTITUTE(SUBSTITUTE(SUBSTITUTE(SUBSTITUTE(F132,"&lt;li&gt;",CHAR(10)),"&lt;/li&gt;",""),"&lt;br&gt;",CHAR(10)),"&lt;strong&gt;",""))</f>
        <v/>
      </c>
      <c r="H132" s="6" cm="1" t="str">
        <f t="array" ref="H132">IF(G132="","",SUBSTITUTE(SUBSTITUTE(SUBSTITUTE(SUBSTITUTE(SUBSTITUTE(G132,"&lt;p&gt;",""),"&lt;/p&gt;",""),"&lt;ul&gt;",""),"&lt;/ul&gt;",""),"&lt;/strong&gt;",""))</f>
        <v/>
      </c>
      <c r="I132" s="12" cm="1" t="str">
        <f t="array" ref="I132">IF(C132="","",IF(OR(H132="",H132=0,H132=FALSE),"-",H132))</f>
        <v/>
      </c>
      <c r="J132">
</c>
      <c r="K132">
</c>
      <c r="L132" s="6" cm="1" t="str">
        <f t="array" ref="L132">IF(C132="","",IF(K132="Mort / Plus rien à faire","KO","OK"))</f>
        <v/>
      </c>
      <c r="M132" s="17">
</c>
      <c r="N132" s="13" cm="1" t="str">
        <f t="array" ref="N132">IF(OR(C132="",M132="",M132=0),"",M132)</f>
        <v/>
      </c>
      <c r="O132" s="17">
</c>
      <c r="P132" s="13" cm="1" t="str">
        <f t="array" ref="P132">IF(C132="","",IF(OR(O132="",O132=0),"-",O132))</f>
        <v/>
      </c>
      <c r="Q132" s="18">
</c>
      <c r="R132" s="6" cm="1" t="str">
        <f t="array" ref="R132">IF(C132="","",ROUND(Q132/1000000,3)&amp;" M€")</f>
        <v/>
      </c>
      <c r="S132" s="19">
</c>
      <c r="T132" s="6" cm="1" t="str">
        <f t="array" ref="T132">IF(C132="","",SUBSTITUTE(S132,"","")&amp;"%")</f>
        <v/>
      </c>
      <c r="U132" s="12" cm="1" t="str">
        <f t="array" ref="U132">IF(($N132="")*($P132=""),"",IF(($N132&lt;&gt;"")*($N132&gt;TODAY()-9)*($N132&lt;TODAY()+1)*($P132&lt;&gt;"")*($P132&gt;=TODAY())*($P132&lt;=TODAY()+13),"Semaine passée &amp; à venir",IF(($N132&lt;&gt;"")*($N132&gt;TODAY()-9)*($N132&lt;TODAY()+1),"Semaine passée",IF(($P132&lt;&gt;"")*($P132&gt;=TODAY())*($P132&lt;=TODAY()+13),"À venir","Autre"))))</f>
        <v/>
      </c>
      <c r="V132" s="5">
</c>
      <c r="W132" s="5">
</c>
      <c r="X132" s="5">
</c>
      <c r="Y132" s="5">
</c>
      <c r="Z132" s="5">
</c>
      <c r="AA132" s="5">
</c>
      <c r="AB132" s="5">
</c>
      <c r="AC132" s="5">
</c>
      <c r="AD132" s="5">
</c>
      <c r="AE132" s="5">
</c>
      <c r="AF132" s="5">
</c>
      <c r="AG132" s="5">
</c>
      <c r="AH132" s="5">
</c>
      <c r="AI132" s="5">
</c>
      <c r="AJ132" s="5">
</c>
      <c r="AK132" s="5">
</c>
    </row>
    <row r="133" ht="65.25" customHeight="1">
      <c r="A133">
</c>
      <c r="B133">
</c>
      <c r="C133" s="16">
</c>
      <c r="D133" s="16">
</c>
      <c r="E133">
</c>
      <c r="F133">
</c>
      <c r="G133" s="6" cm="1" t="str">
        <f t="array" ref="G133">IF(F133="","",SUBSTITUTE(SUBSTITUTE(SUBSTITUTE(SUBSTITUTE(F133,"&lt;li&gt;",CHAR(10)),"&lt;/li&gt;",""),"&lt;br&gt;",CHAR(10)),"&lt;strong&gt;",""))</f>
        <v/>
      </c>
      <c r="H133" s="6" cm="1" t="str">
        <f t="array" ref="H133">IF(G133="","",SUBSTITUTE(SUBSTITUTE(SUBSTITUTE(SUBSTITUTE(SUBSTITUTE(G133,"&lt;p&gt;",""),"&lt;/p&gt;",""),"&lt;ul&gt;",""),"&lt;/ul&gt;",""),"&lt;/strong&gt;",""))</f>
        <v/>
      </c>
      <c r="I133" s="12" cm="1" t="str">
        <f t="array" ref="I133">IF(C133="","",IF(OR(H133="",H133=0,H133=FALSE),"-",H133))</f>
        <v/>
      </c>
      <c r="J133">
</c>
      <c r="K133">
</c>
      <c r="L133" s="6" cm="1" t="str">
        <f t="array" ref="L133">IF(C133="","",IF(K133="Mort / Plus rien à faire","KO","OK"))</f>
        <v/>
      </c>
      <c r="M133" s="17">
</c>
      <c r="N133" s="13" cm="1" t="str">
        <f t="array" ref="N133">IF(OR(C133="",M133="",M133=0),"",M133)</f>
        <v/>
      </c>
      <c r="O133" s="17">
</c>
      <c r="P133" s="13" cm="1" t="str">
        <f t="array" ref="P133">IF(C133="","",IF(OR(O133="",O133=0),"-",O133))</f>
        <v/>
      </c>
      <c r="Q133" s="18">
</c>
      <c r="R133" s="6" cm="1" t="str">
        <f t="array" ref="R133">IF(C133="","",ROUND(Q133/1000000,3)&amp;" M€")</f>
        <v/>
      </c>
      <c r="S133" s="19">
</c>
      <c r="T133" s="6" cm="1" t="str">
        <f t="array" ref="T133">IF(C133="","",SUBSTITUTE(S133,"","")&amp;"%")</f>
        <v/>
      </c>
      <c r="U133" s="12" cm="1" t="str">
        <f t="array" ref="U133">IF(($N133="")*($P133=""),"",IF(($N133&lt;&gt;"")*($N133&gt;TODAY()-9)*($N133&lt;TODAY()+1)*($P133&lt;&gt;"")*($P133&gt;=TODAY())*($P133&lt;=TODAY()+13),"Semaine passée &amp; à venir",IF(($N133&lt;&gt;"")*($N133&gt;TODAY()-9)*($N133&lt;TODAY()+1),"Semaine passée",IF(($P133&lt;&gt;"")*($P133&gt;=TODAY())*($P133&lt;=TODAY()+13),"À venir","Autre"))))</f>
        <v/>
      </c>
      <c r="V133" s="5">
</c>
      <c r="W133" s="5">
</c>
      <c r="X133" s="5">
</c>
      <c r="Y133" s="5">
</c>
      <c r="Z133" s="5">
</c>
      <c r="AA133" s="5">
</c>
      <c r="AB133" s="5">
</c>
      <c r="AC133" s="5">
</c>
      <c r="AD133" s="5">
</c>
      <c r="AE133" s="5">
</c>
      <c r="AF133" s="5">
</c>
      <c r="AG133" s="5">
</c>
      <c r="AH133" s="5">
</c>
      <c r="AI133" s="5">
</c>
      <c r="AJ133" s="5">
</c>
      <c r="AK133" s="5">
</c>
    </row>
    <row r="134" ht="65.25" customHeight="1">
      <c r="A134">
</c>
      <c r="B134">
</c>
      <c r="C134" s="16">
</c>
      <c r="D134" s="16">
</c>
      <c r="E134">
</c>
      <c r="F134">
</c>
      <c r="G134" s="6" cm="1" t="str">
        <f t="array" ref="G134">IF(F134="","",SUBSTITUTE(SUBSTITUTE(SUBSTITUTE(SUBSTITUTE(F134,"&lt;li&gt;",CHAR(10)),"&lt;/li&gt;",""),"&lt;br&gt;",CHAR(10)),"&lt;strong&gt;",""))</f>
        <v/>
      </c>
      <c r="H134" s="6" cm="1" t="str">
        <f t="array" ref="H134">IF(G134="","",SUBSTITUTE(SUBSTITUTE(SUBSTITUTE(SUBSTITUTE(SUBSTITUTE(G134,"&lt;p&gt;",""),"&lt;/p&gt;",""),"&lt;ul&gt;",""),"&lt;/ul&gt;",""),"&lt;/strong&gt;",""))</f>
        <v/>
      </c>
      <c r="I134" s="12" cm="1" t="str">
        <f t="array" ref="I134">IF(C134="","",IF(OR(H134="",H134=0,H134=FALSE),"-",H134))</f>
        <v/>
      </c>
      <c r="J134">
</c>
      <c r="K134">
</c>
      <c r="L134" s="6" cm="1" t="str">
        <f t="array" ref="L134">IF(C134="","",IF(K134="Mort / Plus rien à faire","KO","OK"))</f>
        <v/>
      </c>
      <c r="M134" s="17">
</c>
      <c r="N134" s="13" cm="1" t="str">
        <f t="array" ref="N134">IF(OR(C134="",M134="",M134=0),"",M134)</f>
        <v/>
      </c>
      <c r="O134" s="17">
</c>
      <c r="P134" s="13" cm="1" t="str">
        <f t="array" ref="P134">IF(C134="","",IF(OR(O134="",O134=0),"-",O134))</f>
        <v/>
      </c>
      <c r="Q134" s="18">
</c>
      <c r="R134" s="6" cm="1" t="str">
        <f t="array" ref="R134">IF(C134="","",ROUND(Q134/1000000,3)&amp;" M€")</f>
        <v/>
      </c>
      <c r="S134" s="19">
</c>
      <c r="T134" s="6" cm="1" t="str">
        <f t="array" ref="T134">IF(C134="","",SUBSTITUTE(S134,"","")&amp;"%")</f>
        <v/>
      </c>
      <c r="U134" s="12" cm="1" t="str">
        <f t="array" ref="U134">IF(($N134="")*($P134=""),"",IF(($N134&lt;&gt;"")*($N134&gt;TODAY()-9)*($N134&lt;TODAY()+1)*($P134&lt;&gt;"")*($P134&gt;=TODAY())*($P134&lt;=TODAY()+13),"Semaine passée &amp; à venir",IF(($N134&lt;&gt;"")*($N134&gt;TODAY()-9)*($N134&lt;TODAY()+1),"Semaine passée",IF(($P134&lt;&gt;"")*($P134&gt;=TODAY())*($P134&lt;=TODAY()+13),"À venir","Autre"))))</f>
        <v/>
      </c>
      <c r="V134" s="5">
</c>
      <c r="W134" s="5">
</c>
      <c r="X134" s="5">
</c>
      <c r="Y134" s="5">
</c>
      <c r="Z134" s="5">
</c>
      <c r="AA134" s="5">
</c>
      <c r="AB134" s="5">
</c>
      <c r="AC134" s="5">
</c>
      <c r="AD134" s="5">
</c>
      <c r="AE134" s="5">
</c>
      <c r="AF134" s="5">
</c>
      <c r="AG134" s="5">
</c>
      <c r="AH134" s="5">
</c>
      <c r="AI134" s="5">
</c>
      <c r="AJ134" s="5">
</c>
      <c r="AK134" s="5">
</c>
    </row>
    <row r="135" ht="65.25" customHeight="1">
      <c r="A135">
</c>
      <c r="B135">
</c>
      <c r="C135" s="16">
</c>
      <c r="D135" s="16">
</c>
      <c r="E135">
</c>
      <c r="F135">
</c>
      <c r="G135" s="6" cm="1" t="str">
        <f t="array" ref="G135">IF(F135="","",SUBSTITUTE(SUBSTITUTE(SUBSTITUTE(SUBSTITUTE(F135,"&lt;li&gt;",CHAR(10)),"&lt;/li&gt;",""),"&lt;br&gt;",CHAR(10)),"&lt;strong&gt;",""))</f>
        <v/>
      </c>
      <c r="H135" s="6" cm="1" t="str">
        <f t="array" ref="H135">IF(G135="","",SUBSTITUTE(SUBSTITUTE(SUBSTITUTE(SUBSTITUTE(SUBSTITUTE(G135,"&lt;p&gt;",""),"&lt;/p&gt;",""),"&lt;ul&gt;",""),"&lt;/ul&gt;",""),"&lt;/strong&gt;",""))</f>
        <v/>
      </c>
      <c r="I135" s="12" cm="1" t="str">
        <f t="array" ref="I135">IF(C135="","",IF(OR(H135="",H135=0,H135=FALSE),"-",H135))</f>
        <v/>
      </c>
      <c r="J135">
</c>
      <c r="K135">
</c>
      <c r="L135" s="6" cm="1" t="str">
        <f t="array" ref="L135">IF(C135="","",IF(K135="Mort / Plus rien à faire","KO","OK"))</f>
        <v/>
      </c>
      <c r="M135" s="17">
</c>
      <c r="N135" s="13" cm="1" t="str">
        <f t="array" ref="N135">IF(OR(C135="",M135="",M135=0),"",M135)</f>
        <v/>
      </c>
      <c r="O135" s="17">
</c>
      <c r="P135" s="13" cm="1" t="str">
        <f t="array" ref="P135">IF(C135="","",IF(OR(O135="",O135=0),"-",O135))</f>
        <v/>
      </c>
      <c r="Q135" s="18">
</c>
      <c r="R135" s="6" cm="1" t="str">
        <f t="array" ref="R135">IF(C135="","",ROUND(Q135/1000000,3)&amp;" M€")</f>
        <v/>
      </c>
      <c r="S135" s="19">
</c>
      <c r="T135" s="6" cm="1" t="str">
        <f t="array" ref="T135">IF(C135="","",SUBSTITUTE(S135,"","")&amp;"%")</f>
        <v/>
      </c>
      <c r="U135" s="12" cm="1" t="str">
        <f t="array" ref="U135">IF(($N135="")*($P135=""),"",IF(($N135&lt;&gt;"")*($N135&gt;TODAY()-9)*($N135&lt;TODAY()+1)*($P135&lt;&gt;"")*($P135&gt;=TODAY())*($P135&lt;=TODAY()+13),"Semaine passée &amp; à venir",IF(($N135&lt;&gt;"")*($N135&gt;TODAY()-9)*($N135&lt;TODAY()+1),"Semaine passée",IF(($P135&lt;&gt;"")*($P135&gt;=TODAY())*($P135&lt;=TODAY()+13),"À venir","Autre"))))</f>
        <v/>
      </c>
      <c r="V135" s="5">
</c>
      <c r="W135" s="5">
</c>
      <c r="X135" s="5">
</c>
      <c r="Y135" s="5">
</c>
      <c r="Z135" s="5">
</c>
      <c r="AA135" s="5">
</c>
      <c r="AB135" s="5">
</c>
      <c r="AC135" s="5">
</c>
      <c r="AD135" s="5">
</c>
      <c r="AE135" s="5">
</c>
      <c r="AF135" s="5">
</c>
      <c r="AG135" s="5">
</c>
      <c r="AH135" s="5">
</c>
      <c r="AI135" s="5">
</c>
      <c r="AJ135" s="5">
</c>
      <c r="AK135" s="5">
</c>
    </row>
    <row r="136" ht="65.25" customHeight="1">
      <c r="A136">
</c>
      <c r="B136">
</c>
      <c r="C136" s="16">
</c>
      <c r="D136" s="16">
</c>
      <c r="E136">
</c>
      <c r="F136">
</c>
      <c r="G136" s="6" cm="1" t="str">
        <f t="array" ref="G136">IF(F136="","",SUBSTITUTE(SUBSTITUTE(SUBSTITUTE(SUBSTITUTE(F136,"&lt;li&gt;",CHAR(10)),"&lt;/li&gt;",""),"&lt;br&gt;",CHAR(10)),"&lt;strong&gt;",""))</f>
        <v/>
      </c>
      <c r="H136" s="6" cm="1" t="str">
        <f t="array" ref="H136">IF(G136="","",SUBSTITUTE(SUBSTITUTE(SUBSTITUTE(SUBSTITUTE(SUBSTITUTE(G136,"&lt;p&gt;",""),"&lt;/p&gt;",""),"&lt;ul&gt;",""),"&lt;/ul&gt;",""),"&lt;/strong&gt;",""))</f>
        <v/>
      </c>
      <c r="I136" s="12" cm="1" t="str">
        <f t="array" ref="I136">IF(C136="","",IF(OR(H136="",H136=0,H136=FALSE),"-",H136))</f>
        <v/>
      </c>
      <c r="J136">
</c>
      <c r="K136">
</c>
      <c r="L136" s="6" cm="1" t="str">
        <f t="array" ref="L136">IF(C136="","",IF(K136="Mort / Plus rien à faire","KO","OK"))</f>
        <v/>
      </c>
      <c r="M136" s="17">
</c>
      <c r="N136" s="13" cm="1" t="str">
        <f t="array" ref="N136">IF(OR(C136="",M136="",M136=0),"",M136)</f>
        <v/>
      </c>
      <c r="O136" s="17">
</c>
      <c r="P136" s="13" cm="1" t="str">
        <f t="array" ref="P136">IF(C136="","",IF(OR(O136="",O136=0),"-",O136))</f>
        <v/>
      </c>
      <c r="Q136" s="18">
</c>
      <c r="R136" s="6" cm="1" t="str">
        <f t="array" ref="R136">IF(C136="","",ROUND(Q136/1000000,3)&amp;" M€")</f>
        <v/>
      </c>
      <c r="S136" s="19">
</c>
      <c r="T136" s="6" cm="1" t="str">
        <f t="array" ref="T136">IF(C136="","",SUBSTITUTE(S136,"","")&amp;"%")</f>
        <v/>
      </c>
      <c r="U136" s="12" cm="1" t="str">
        <f t="array" ref="U136">IF(($N136="")*($P136=""),"",IF(($N136&lt;&gt;"")*($N136&gt;TODAY()-9)*($N136&lt;TODAY()+1)*($P136&lt;&gt;"")*($P136&gt;=TODAY())*($P136&lt;=TODAY()+13),"Semaine passée &amp; à venir",IF(($N136&lt;&gt;"")*($N136&gt;TODAY()-9)*($N136&lt;TODAY()+1),"Semaine passée",IF(($P136&lt;&gt;"")*($P136&gt;=TODAY())*($P136&lt;=TODAY()+13),"À venir","Autre"))))</f>
        <v/>
      </c>
      <c r="V136" s="5">
</c>
      <c r="W136" s="5">
</c>
      <c r="X136" s="5">
</c>
      <c r="Y136" s="5">
</c>
      <c r="Z136" s="5">
</c>
      <c r="AA136" s="5">
</c>
      <c r="AB136" s="5">
</c>
      <c r="AC136" s="5">
</c>
      <c r="AD136" s="5">
</c>
      <c r="AE136" s="5">
</c>
      <c r="AF136" s="5">
</c>
      <c r="AG136" s="5">
</c>
      <c r="AH136" s="5">
</c>
      <c r="AI136" s="5">
</c>
      <c r="AJ136" s="5">
</c>
      <c r="AK136" s="5">
</c>
    </row>
    <row r="137" ht="65.25" customHeight="1">
      <c r="A137">
</c>
      <c r="B137">
</c>
      <c r="C137" s="16">
</c>
      <c r="D137" s="16">
</c>
      <c r="E137">
</c>
      <c r="F137">
</c>
      <c r="G137" s="6" cm="1" t="str">
        <f t="array" ref="G137">IF(F137="","",SUBSTITUTE(SUBSTITUTE(SUBSTITUTE(SUBSTITUTE(F137,"&lt;li&gt;",CHAR(10)),"&lt;/li&gt;",""),"&lt;br&gt;",CHAR(10)),"&lt;strong&gt;",""))</f>
        <v/>
      </c>
      <c r="H137" s="6" cm="1" t="str">
        <f t="array" ref="H137">IF(G137="","",SUBSTITUTE(SUBSTITUTE(SUBSTITUTE(SUBSTITUTE(SUBSTITUTE(G137,"&lt;p&gt;",""),"&lt;/p&gt;",""),"&lt;ul&gt;",""),"&lt;/ul&gt;",""),"&lt;/strong&gt;",""))</f>
        <v/>
      </c>
      <c r="I137" s="12" cm="1" t="str">
        <f t="array" ref="I137">IF(C137="","",IF(OR(H137="",H137=0,H137=FALSE),"-",H137))</f>
        <v/>
      </c>
      <c r="J137">
</c>
      <c r="K137">
</c>
      <c r="L137" s="6" cm="1" t="str">
        <f t="array" ref="L137">IF(C137="","",IF(K137="Mort / Plus rien à faire","KO","OK"))</f>
        <v/>
      </c>
      <c r="M137" s="17">
</c>
      <c r="N137" s="13" cm="1" t="str">
        <f t="array" ref="N137">IF(OR(C137="",M137="",M137=0),"",M137)</f>
        <v/>
      </c>
      <c r="O137" s="17">
</c>
      <c r="P137" s="13" cm="1" t="str">
        <f t="array" ref="P137">IF(C137="","",IF(OR(O137="",O137=0),"-",O137))</f>
        <v/>
      </c>
      <c r="Q137" s="18">
</c>
      <c r="R137" s="6" cm="1" t="str">
        <f t="array" ref="R137">IF(C137="","",ROUND(Q137/1000000,3)&amp;" M€")</f>
        <v/>
      </c>
      <c r="S137" s="19">
</c>
      <c r="T137" s="6" cm="1" t="str">
        <f t="array" ref="T137">IF(C137="","",SUBSTITUTE(S137,"","")&amp;"%")</f>
        <v/>
      </c>
      <c r="U137" s="12" cm="1" t="str">
        <f t="array" ref="U137">IF(($N137="")*($P137=""),"",IF(($N137&lt;&gt;"")*($N137&gt;TODAY()-9)*($N137&lt;TODAY()+1)*($P137&lt;&gt;"")*($P137&gt;=TODAY())*($P137&lt;=TODAY()+13),"Semaine passée &amp; à venir",IF(($N137&lt;&gt;"")*($N137&gt;TODAY()-9)*($N137&lt;TODAY()+1),"Semaine passée",IF(($P137&lt;&gt;"")*($P137&gt;=TODAY())*($P137&lt;=TODAY()+13),"À venir","Autre"))))</f>
        <v/>
      </c>
      <c r="V137" s="5">
</c>
      <c r="W137" s="5">
</c>
      <c r="X137" s="5">
</c>
      <c r="Y137" s="5">
</c>
      <c r="Z137" s="5">
</c>
      <c r="AA137" s="5">
</c>
      <c r="AB137" s="5">
</c>
      <c r="AC137" s="5">
</c>
      <c r="AD137" s="5">
</c>
      <c r="AE137" s="5">
</c>
      <c r="AF137" s="5">
</c>
      <c r="AG137" s="5">
</c>
      <c r="AH137" s="5">
</c>
      <c r="AI137" s="5">
</c>
      <c r="AJ137" s="5">
</c>
      <c r="AK137" s="5">
</c>
    </row>
    <row r="138" ht="65.25" customHeight="1">
      <c r="A138">
</c>
      <c r="B138">
</c>
      <c r="C138" s="16">
</c>
      <c r="D138" s="16">
</c>
      <c r="E138">
</c>
      <c r="F138">
</c>
      <c r="G138" s="6" cm="1" t="str">
        <f t="array" ref="G138">IF(F138="","",SUBSTITUTE(SUBSTITUTE(SUBSTITUTE(SUBSTITUTE(F138,"&lt;li&gt;",CHAR(10)),"&lt;/li&gt;",""),"&lt;br&gt;",CHAR(10)),"&lt;strong&gt;",""))</f>
        <v/>
      </c>
      <c r="H138" s="6" cm="1" t="str">
        <f t="array" ref="H138">IF(G138="","",SUBSTITUTE(SUBSTITUTE(SUBSTITUTE(SUBSTITUTE(SUBSTITUTE(G138,"&lt;p&gt;",""),"&lt;/p&gt;",""),"&lt;ul&gt;",""),"&lt;/ul&gt;",""),"&lt;/strong&gt;",""))</f>
        <v/>
      </c>
      <c r="I138" s="12" cm="1" t="str">
        <f t="array" ref="I138">IF(C138="","",IF(OR(H138="",H138=0,H138=FALSE),"-",H138))</f>
        <v/>
      </c>
      <c r="J138">
</c>
      <c r="K138">
</c>
      <c r="L138" s="6" cm="1" t="str">
        <f t="array" ref="L138">IF(C138="","",IF(K138="Mort / Plus rien à faire","KO","OK"))</f>
        <v/>
      </c>
      <c r="M138" s="17">
</c>
      <c r="N138" s="13" cm="1" t="str">
        <f t="array" ref="N138">IF(OR(C138="",M138="",M138=0),"",M138)</f>
        <v/>
      </c>
      <c r="O138" s="17">
</c>
      <c r="P138" s="13" cm="1" t="str">
        <f t="array" ref="P138">IF(C138="","",IF(OR(O138="",O138=0),"-",O138))</f>
        <v/>
      </c>
      <c r="Q138" s="18">
</c>
      <c r="R138" s="6" cm="1" t="str">
        <f t="array" ref="R138">IF(C138="","",ROUND(Q138/1000000,3)&amp;" M€")</f>
        <v/>
      </c>
      <c r="S138" s="19">
</c>
      <c r="T138" s="6" cm="1" t="str">
        <f t="array" ref="T138">IF(C138="","",SUBSTITUTE(S138,"","")&amp;"%")</f>
        <v/>
      </c>
      <c r="U138" s="12" cm="1" t="str">
        <f t="array" ref="U138">IF(($N138="")*($P138=""),"",IF(($N138&lt;&gt;"")*($N138&gt;TODAY()-9)*($N138&lt;TODAY()+1)*($P138&lt;&gt;"")*($P138&gt;=TODAY())*($P138&lt;=TODAY()+13),"Semaine passée &amp; à venir",IF(($N138&lt;&gt;"")*($N138&gt;TODAY()-9)*($N138&lt;TODAY()+1),"Semaine passée",IF(($P138&lt;&gt;"")*($P138&gt;=TODAY())*($P138&lt;=TODAY()+13),"À venir","Autre"))))</f>
        <v/>
      </c>
      <c r="V138" s="5">
</c>
      <c r="W138" s="5">
</c>
      <c r="X138" s="5">
</c>
      <c r="Y138" s="5">
</c>
      <c r="Z138" s="5">
</c>
      <c r="AA138" s="5">
</c>
      <c r="AB138" s="5">
</c>
      <c r="AC138" s="5">
</c>
      <c r="AD138" s="5">
</c>
      <c r="AE138" s="5">
</c>
      <c r="AF138" s="5">
</c>
      <c r="AG138" s="5">
</c>
      <c r="AH138" s="5">
</c>
      <c r="AI138" s="5">
</c>
      <c r="AJ138" s="5">
</c>
      <c r="AK138" s="5">
</c>
    </row>
    <row r="139" ht="65.25" customHeight="1">
      <c r="A139">
</c>
      <c r="B139">
</c>
      <c r="C139" s="16">
</c>
      <c r="D139" s="16">
</c>
      <c r="E139">
</c>
      <c r="F139">
</c>
      <c r="G139" s="6" cm="1" t="str">
        <f t="array" ref="G139">IF(F139="","",SUBSTITUTE(SUBSTITUTE(SUBSTITUTE(SUBSTITUTE(F139,"&lt;li&gt;",CHAR(10)),"&lt;/li&gt;",""),"&lt;br&gt;",CHAR(10)),"&lt;strong&gt;",""))</f>
        <v/>
      </c>
      <c r="H139" s="6" cm="1" t="str">
        <f t="array" ref="H139">IF(G139="","",SUBSTITUTE(SUBSTITUTE(SUBSTITUTE(SUBSTITUTE(SUBSTITUTE(G139,"&lt;p&gt;",""),"&lt;/p&gt;",""),"&lt;ul&gt;",""),"&lt;/ul&gt;",""),"&lt;/strong&gt;",""))</f>
        <v/>
      </c>
      <c r="I139" s="12" cm="1" t="str">
        <f t="array" ref="I139">IF(C139="","",IF(OR(H139="",H139=0,H139=FALSE),"-",H139))</f>
        <v/>
      </c>
      <c r="J139">
</c>
      <c r="K139">
</c>
      <c r="L139" s="6" cm="1" t="str">
        <f t="array" ref="L139">IF(C139="","",IF(K139="Mort / Plus rien à faire","KO","OK"))</f>
        <v/>
      </c>
      <c r="M139" s="17">
</c>
      <c r="N139" s="13" cm="1" t="str">
        <f t="array" ref="N139">IF(OR(C139="",M139="",M139=0),"",M139)</f>
        <v/>
      </c>
      <c r="O139" s="17">
</c>
      <c r="P139" s="13" cm="1" t="str">
        <f t="array" ref="P139">IF(C139="","",IF(OR(O139="",O139=0),"-",O139))</f>
        <v/>
      </c>
      <c r="Q139" s="18">
</c>
      <c r="R139" s="6" cm="1" t="str">
        <f t="array" ref="R139">IF(C139="","",ROUND(Q139/1000000,3)&amp;" M€")</f>
        <v/>
      </c>
      <c r="S139" s="19">
</c>
      <c r="T139" s="6" cm="1" t="str">
        <f t="array" ref="T139">IF(C139="","",SUBSTITUTE(S139,"","")&amp;"%")</f>
        <v/>
      </c>
      <c r="U139" s="12" cm="1" t="str">
        <f t="array" ref="U139">IF(($N139="")*($P139=""),"",IF(($N139&lt;&gt;"")*($N139&gt;TODAY()-9)*($N139&lt;TODAY()+1)*($P139&lt;&gt;"")*($P139&gt;=TODAY())*($P139&lt;=TODAY()+13),"Semaine passée &amp; à venir",IF(($N139&lt;&gt;"")*($N139&gt;TODAY()-9)*($N139&lt;TODAY()+1),"Semaine passée",IF(($P139&lt;&gt;"")*($P139&gt;=TODAY())*($P139&lt;=TODAY()+13),"À venir","Autre"))))</f>
        <v/>
      </c>
      <c r="V139" s="5">
</c>
      <c r="W139" s="5">
</c>
      <c r="X139" s="5">
</c>
      <c r="Y139" s="5">
</c>
      <c r="Z139" s="5">
</c>
      <c r="AA139" s="5">
</c>
      <c r="AB139" s="5">
</c>
      <c r="AC139" s="5">
</c>
      <c r="AD139" s="5">
</c>
      <c r="AE139" s="5">
</c>
      <c r="AF139" s="5">
</c>
      <c r="AG139" s="5">
</c>
      <c r="AH139" s="5">
</c>
      <c r="AI139" s="5">
</c>
      <c r="AJ139" s="5">
</c>
      <c r="AK139" s="5">
</c>
    </row>
    <row r="140" ht="65.25" customHeight="1">
      <c r="A140">
</c>
      <c r="B140">
</c>
      <c r="C140" s="16">
</c>
      <c r="D140" s="16">
</c>
      <c r="E140">
</c>
      <c r="F140">
</c>
      <c r="G140" s="6" cm="1" t="str">
        <f t="array" ref="G140">IF(F140="","",SUBSTITUTE(SUBSTITUTE(SUBSTITUTE(SUBSTITUTE(F140,"&lt;li&gt;",CHAR(10)),"&lt;/li&gt;",""),"&lt;br&gt;",CHAR(10)),"&lt;strong&gt;",""))</f>
        <v/>
      </c>
      <c r="H140" s="6" cm="1" t="str">
        <f t="array" ref="H140">IF(G140="","",SUBSTITUTE(SUBSTITUTE(SUBSTITUTE(SUBSTITUTE(SUBSTITUTE(G140,"&lt;p&gt;",""),"&lt;/p&gt;",""),"&lt;ul&gt;",""),"&lt;/ul&gt;",""),"&lt;/strong&gt;",""))</f>
        <v/>
      </c>
      <c r="I140" s="12" cm="1" t="str">
        <f t="array" ref="I140">IF(C140="","",IF(OR(H140="",H140=0,H140=FALSE),"-",H140))</f>
        <v/>
      </c>
      <c r="J140">
</c>
      <c r="K140">
</c>
      <c r="L140" s="6" cm="1" t="str">
        <f t="array" ref="L140">IF(C140="","",IF(K140="Mort / Plus rien à faire","KO","OK"))</f>
        <v/>
      </c>
      <c r="M140" s="17">
</c>
      <c r="N140" s="13" cm="1" t="str">
        <f t="array" ref="N140">IF(OR(C140="",M140="",M140=0),"",M140)</f>
        <v/>
      </c>
      <c r="O140" s="17">
</c>
      <c r="P140" s="13" cm="1" t="str">
        <f t="array" ref="P140">IF(C140="","",IF(OR(O140="",O140=0),"-",O140))</f>
        <v/>
      </c>
      <c r="Q140" s="18">
</c>
      <c r="R140" s="6" cm="1" t="str">
        <f t="array" ref="R140">IF(C140="","",ROUND(Q140/1000000,3)&amp;" M€")</f>
        <v/>
      </c>
      <c r="S140" s="19">
</c>
      <c r="T140" s="6" cm="1" t="str">
        <f t="array" ref="T140">IF(C140="","",SUBSTITUTE(S140,"","")&amp;"%")</f>
        <v/>
      </c>
      <c r="U140" s="12" cm="1" t="str">
        <f t="array" ref="U140">IF(($N140="")*($P140=""),"",IF(($N140&lt;&gt;"")*($N140&gt;TODAY()-9)*($N140&lt;TODAY()+1)*($P140&lt;&gt;"")*($P140&gt;=TODAY())*($P140&lt;=TODAY()+13),"Semaine passée &amp; à venir",IF(($N140&lt;&gt;"")*($N140&gt;TODAY()-9)*($N140&lt;TODAY()+1),"Semaine passée",IF(($P140&lt;&gt;"")*($P140&gt;=TODAY())*($P140&lt;=TODAY()+13),"À venir","Autre"))))</f>
        <v/>
      </c>
      <c r="V140" s="5">
</c>
      <c r="W140" s="5">
</c>
      <c r="X140" s="5">
</c>
      <c r="Y140" s="5">
</c>
      <c r="Z140" s="5">
</c>
      <c r="AA140" s="5">
</c>
      <c r="AB140" s="5">
</c>
      <c r="AC140" s="5">
</c>
      <c r="AD140" s="5">
</c>
      <c r="AE140" s="5">
</c>
      <c r="AF140" s="5">
</c>
      <c r="AG140" s="5">
</c>
      <c r="AH140" s="5">
</c>
      <c r="AI140" s="5">
</c>
      <c r="AJ140" s="5">
</c>
      <c r="AK140" s="5">
</c>
    </row>
    <row r="141" ht="65.25" customHeight="1">
      <c r="A141">
</c>
      <c r="B141">
</c>
      <c r="C141" s="16">
</c>
      <c r="D141" s="16">
</c>
      <c r="E141">
</c>
      <c r="F141">
</c>
      <c r="G141" s="6" cm="1" t="str">
        <f t="array" ref="G141">IF(F141="","",SUBSTITUTE(SUBSTITUTE(SUBSTITUTE(SUBSTITUTE(F141,"&lt;li&gt;",CHAR(10)),"&lt;/li&gt;",""),"&lt;br&gt;",CHAR(10)),"&lt;strong&gt;",""))</f>
        <v/>
      </c>
      <c r="H141" s="6" cm="1" t="str">
        <f t="array" ref="H141">IF(G141="","",SUBSTITUTE(SUBSTITUTE(SUBSTITUTE(SUBSTITUTE(SUBSTITUTE(G141,"&lt;p&gt;",""),"&lt;/p&gt;",""),"&lt;ul&gt;",""),"&lt;/ul&gt;",""),"&lt;/strong&gt;",""))</f>
        <v/>
      </c>
      <c r="I141" s="12" cm="1" t="str">
        <f t="array" ref="I141">IF(C141="","",IF(OR(H141="",H141=0,H141=FALSE),"-",H141))</f>
        <v/>
      </c>
      <c r="J141">
</c>
      <c r="K141">
</c>
      <c r="L141" s="6" cm="1" t="str">
        <f t="array" ref="L141">IF(C141="","",IF(K141="Mort / Plus rien à faire","KO","OK"))</f>
        <v/>
      </c>
      <c r="M141" s="17">
</c>
      <c r="N141" s="13" cm="1" t="str">
        <f t="array" ref="N141">IF(OR(C141="",M141="",M141=0),"",M141)</f>
        <v/>
      </c>
      <c r="O141" s="17">
</c>
      <c r="P141" s="13" cm="1" t="str">
        <f t="array" ref="P141">IF(C141="","",IF(OR(O141="",O141=0),"-",O141))</f>
        <v/>
      </c>
      <c r="Q141" s="18">
</c>
      <c r="R141" s="6" cm="1" t="str">
        <f t="array" ref="R141">IF(C141="","",ROUND(Q141/1000000,3)&amp;" M€")</f>
        <v/>
      </c>
      <c r="S141" s="19">
</c>
      <c r="T141" s="6" cm="1" t="str">
        <f t="array" ref="T141">IF(C141="","",SUBSTITUTE(S141,"","")&amp;"%")</f>
        <v/>
      </c>
      <c r="U141" s="12" cm="1" t="str">
        <f t="array" ref="U141">IF(($N141="")*($P141=""),"",IF(($N141&lt;&gt;"")*($N141&gt;TODAY()-9)*($N141&lt;TODAY()+1)*($P141&lt;&gt;"")*($P141&gt;=TODAY())*($P141&lt;=TODAY()+13),"Semaine passée &amp; à venir",IF(($N141&lt;&gt;"")*($N141&gt;TODAY()-9)*($N141&lt;TODAY()+1),"Semaine passée",IF(($P141&lt;&gt;"")*($P141&gt;=TODAY())*($P141&lt;=TODAY()+13),"À venir","Autre"))))</f>
        <v/>
      </c>
      <c r="V141" s="5">
</c>
      <c r="W141" s="5">
</c>
      <c r="X141" s="5">
</c>
      <c r="Y141" s="5">
</c>
      <c r="Z141" s="5">
</c>
      <c r="AA141" s="5">
</c>
      <c r="AB141" s="5">
</c>
      <c r="AC141" s="5">
</c>
      <c r="AD141" s="5">
</c>
      <c r="AE141" s="5">
</c>
      <c r="AF141" s="5">
</c>
      <c r="AG141" s="5">
</c>
      <c r="AH141" s="5">
</c>
      <c r="AI141" s="5">
</c>
      <c r="AJ141" s="5">
</c>
      <c r="AK141" s="5">
</c>
    </row>
    <row r="142" ht="65.25" customHeight="1">
      <c r="A142">
</c>
      <c r="B142">
</c>
      <c r="C142" s="16">
</c>
      <c r="D142" s="16">
</c>
      <c r="E142">
</c>
      <c r="F142">
</c>
      <c r="G142" s="6" cm="1" t="str">
        <f t="array" ref="G142">IF(F142="","",SUBSTITUTE(SUBSTITUTE(SUBSTITUTE(SUBSTITUTE(F142,"&lt;li&gt;",CHAR(10)),"&lt;/li&gt;",""),"&lt;br&gt;",CHAR(10)),"&lt;strong&gt;",""))</f>
        <v/>
      </c>
      <c r="H142" s="6" cm="1" t="str">
        <f t="array" ref="H142">IF(G142="","",SUBSTITUTE(SUBSTITUTE(SUBSTITUTE(SUBSTITUTE(SUBSTITUTE(G142,"&lt;p&gt;",""),"&lt;/p&gt;",""),"&lt;ul&gt;",""),"&lt;/ul&gt;",""),"&lt;/strong&gt;",""))</f>
        <v/>
      </c>
      <c r="I142" s="12" cm="1" t="str">
        <f t="array" ref="I142">IF(C142="","",IF(OR(H142="",H142=0,H142=FALSE),"-",H142))</f>
        <v/>
      </c>
      <c r="J142">
</c>
      <c r="K142">
</c>
      <c r="L142" s="6" cm="1" t="str">
        <f t="array" ref="L142">IF(C142="","",IF(K142="Mort / Plus rien à faire","KO","OK"))</f>
        <v/>
      </c>
      <c r="M142" s="17">
</c>
      <c r="N142" s="13" cm="1" t="str">
        <f t="array" ref="N142">IF(OR(C142="",M142="",M142=0),"",M142)</f>
        <v/>
      </c>
      <c r="O142" s="17">
</c>
      <c r="P142" s="13" cm="1" t="str">
        <f t="array" ref="P142">IF(C142="","",IF(OR(O142="",O142=0),"-",O142))</f>
        <v/>
      </c>
      <c r="Q142" s="18">
</c>
      <c r="R142" s="6" cm="1" t="str">
        <f t="array" ref="R142">IF(C142="","",ROUND(Q142/1000000,3)&amp;" M€")</f>
        <v/>
      </c>
      <c r="S142" s="19">
</c>
      <c r="T142" s="6" cm="1" t="str">
        <f t="array" ref="T142">IF(C142="","",SUBSTITUTE(S142,"","")&amp;"%")</f>
        <v/>
      </c>
      <c r="U142" s="12" cm="1" t="str">
        <f t="array" ref="U142">IF(($N142="")*($P142=""),"",IF(($N142&lt;&gt;"")*($N142&gt;TODAY()-9)*($N142&lt;TODAY()+1)*($P142&lt;&gt;"")*($P142&gt;=TODAY())*($P142&lt;=TODAY()+13),"Semaine passée &amp; à venir",IF(($N142&lt;&gt;"")*($N142&gt;TODAY()-9)*($N142&lt;TODAY()+1),"Semaine passée",IF(($P142&lt;&gt;"")*($P142&gt;=TODAY())*($P142&lt;=TODAY()+13),"À venir","Autre"))))</f>
        <v/>
      </c>
      <c r="V142" s="5">
</c>
      <c r="W142" s="5">
</c>
      <c r="X142" s="5">
</c>
      <c r="Y142" s="5">
</c>
      <c r="Z142" s="5">
</c>
      <c r="AA142" s="5">
</c>
      <c r="AB142" s="5">
</c>
      <c r="AC142" s="5">
</c>
      <c r="AD142" s="5">
</c>
      <c r="AE142" s="5">
</c>
      <c r="AF142" s="5">
</c>
      <c r="AG142" s="5">
</c>
      <c r="AH142" s="5">
</c>
      <c r="AI142" s="5">
</c>
      <c r="AJ142" s="5">
</c>
      <c r="AK142" s="5">
</c>
    </row>
    <row r="143" ht="65.25" customHeight="1">
      <c r="A143">
</c>
      <c r="B143">
</c>
      <c r="C143" s="16">
</c>
      <c r="D143" s="16">
</c>
      <c r="E143">
</c>
      <c r="F143">
</c>
      <c r="G143" s="6" cm="1" t="str">
        <f t="array" ref="G143">IF(F143="","",SUBSTITUTE(SUBSTITUTE(SUBSTITUTE(SUBSTITUTE(F143,"&lt;li&gt;",CHAR(10)),"&lt;/li&gt;",""),"&lt;br&gt;",CHAR(10)),"&lt;strong&gt;",""))</f>
        <v/>
      </c>
      <c r="H143" s="6" cm="1" t="str">
        <f t="array" ref="H143">IF(G143="","",SUBSTITUTE(SUBSTITUTE(SUBSTITUTE(SUBSTITUTE(SUBSTITUTE(G143,"&lt;p&gt;",""),"&lt;/p&gt;",""),"&lt;ul&gt;",""),"&lt;/ul&gt;",""),"&lt;/strong&gt;",""))</f>
        <v/>
      </c>
      <c r="I143" s="12" cm="1" t="str">
        <f t="array" ref="I143">IF(C143="","",IF(OR(H143="",H143=0,H143=FALSE),"-",H143))</f>
        <v/>
      </c>
      <c r="J143">
</c>
      <c r="K143">
</c>
      <c r="L143" s="6" cm="1" t="str">
        <f t="array" ref="L143">IF(C143="","",IF(K143="Mort / Plus rien à faire","KO","OK"))</f>
        <v/>
      </c>
      <c r="M143" s="17">
</c>
      <c r="N143" s="13" cm="1" t="str">
        <f t="array" ref="N143">IF(OR(C143="",M143="",M143=0),"",M143)</f>
        <v/>
      </c>
      <c r="O143" s="17">
</c>
      <c r="P143" s="13" cm="1" t="str">
        <f t="array" ref="P143">IF(C143="","",IF(OR(O143="",O143=0),"-",O143))</f>
        <v/>
      </c>
      <c r="Q143" s="18">
</c>
      <c r="R143" s="6" cm="1" t="str">
        <f t="array" ref="R143">IF(C143="","",ROUND(Q143/1000000,3)&amp;" M€")</f>
        <v/>
      </c>
      <c r="S143" s="19">
</c>
      <c r="T143" s="6" cm="1" t="str">
        <f t="array" ref="T143">IF(C143="","",SUBSTITUTE(S143,"","")&amp;"%")</f>
        <v/>
      </c>
      <c r="U143" s="12" cm="1" t="str">
        <f t="array" ref="U143">IF(($N143="")*($P143=""),"",IF(($N143&lt;&gt;"")*($N143&gt;TODAY()-9)*($N143&lt;TODAY()+1)*($P143&lt;&gt;"")*($P143&gt;=TODAY())*($P143&lt;=TODAY()+13),"Semaine passée &amp; à venir",IF(($N143&lt;&gt;"")*($N143&gt;TODAY()-9)*($N143&lt;TODAY()+1),"Semaine passée",IF(($P143&lt;&gt;"")*($P143&gt;=TODAY())*($P143&lt;=TODAY()+13),"À venir","Autre"))))</f>
        <v/>
      </c>
      <c r="V143" s="5">
</c>
      <c r="W143" s="5">
</c>
      <c r="X143" s="5">
</c>
      <c r="Y143" s="5">
</c>
      <c r="Z143" s="5">
</c>
      <c r="AA143" s="5">
</c>
      <c r="AB143" s="5">
</c>
      <c r="AC143" s="5">
</c>
      <c r="AD143" s="5">
</c>
      <c r="AE143" s="5">
</c>
      <c r="AF143" s="5">
</c>
      <c r="AG143" s="5">
</c>
      <c r="AH143" s="5">
</c>
      <c r="AI143" s="5">
</c>
      <c r="AJ143" s="5">
</c>
      <c r="AK143" s="5">
</c>
    </row>
    <row r="144" ht="65.25" customHeight="1">
      <c r="A144">
</c>
      <c r="B144">
</c>
      <c r="C144" s="16">
</c>
      <c r="D144" s="16">
</c>
      <c r="E144">
</c>
      <c r="F144">
</c>
      <c r="G144" s="6" cm="1" t="str">
        <f t="array" ref="G144">IF(F144="","",SUBSTITUTE(SUBSTITUTE(SUBSTITUTE(SUBSTITUTE(F144,"&lt;li&gt;",CHAR(10)),"&lt;/li&gt;",""),"&lt;br&gt;",CHAR(10)),"&lt;strong&gt;",""))</f>
        <v/>
      </c>
      <c r="H144" s="6" cm="1" t="str">
        <f t="array" ref="H144">IF(G144="","",SUBSTITUTE(SUBSTITUTE(SUBSTITUTE(SUBSTITUTE(SUBSTITUTE(G144,"&lt;p&gt;",""),"&lt;/p&gt;",""),"&lt;ul&gt;",""),"&lt;/ul&gt;",""),"&lt;/strong&gt;",""))</f>
        <v/>
      </c>
      <c r="I144" s="12" cm="1" t="str">
        <f t="array" ref="I144">IF(C144="","",IF(OR(H144="",H144=0,H144=FALSE),"-",H144))</f>
        <v/>
      </c>
      <c r="J144">
</c>
      <c r="K144">
</c>
      <c r="L144" s="6" cm="1" t="str">
        <f t="array" ref="L144">IF(C144="","",IF(K144="Mort / Plus rien à faire","KO","OK"))</f>
        <v/>
      </c>
      <c r="M144" s="17">
</c>
      <c r="N144" s="13" cm="1" t="str">
        <f t="array" ref="N144">IF(OR(C144="",M144="",M144=0),"",M144)</f>
        <v/>
      </c>
      <c r="O144" s="17">
</c>
      <c r="P144" s="13" cm="1" t="str">
        <f t="array" ref="P144">IF(C144="","",IF(OR(O144="",O144=0),"-",O144))</f>
        <v/>
      </c>
      <c r="Q144" s="18">
</c>
      <c r="R144" s="6" cm="1" t="str">
        <f t="array" ref="R144">IF(C144="","",ROUND(Q144/1000000,3)&amp;" M€")</f>
        <v/>
      </c>
      <c r="S144" s="19">
</c>
      <c r="T144" s="6" cm="1" t="str">
        <f t="array" ref="T144">IF(C144="","",SUBSTITUTE(S144,"","")&amp;"%")</f>
        <v/>
      </c>
      <c r="U144" s="12" cm="1" t="str">
        <f t="array" ref="U144">IF(($N144="")*($P144=""),"",IF(($N144&lt;&gt;"")*($N144&gt;TODAY()-9)*($N144&lt;TODAY()+1)*($P144&lt;&gt;"")*($P144&gt;=TODAY())*($P144&lt;=TODAY()+13),"Semaine passée &amp; à venir",IF(($N144&lt;&gt;"")*($N144&gt;TODAY()-9)*($N144&lt;TODAY()+1),"Semaine passée",IF(($P144&lt;&gt;"")*($P144&gt;=TODAY())*($P144&lt;=TODAY()+13),"À venir","Autre"))))</f>
        <v/>
      </c>
      <c r="V144" s="5">
</c>
      <c r="W144" s="5">
</c>
      <c r="X144" s="5">
</c>
      <c r="Y144" s="5">
</c>
      <c r="Z144" s="5">
</c>
      <c r="AA144" s="5">
</c>
      <c r="AB144" s="5">
</c>
      <c r="AC144" s="5">
</c>
      <c r="AD144" s="5">
</c>
      <c r="AE144" s="5">
</c>
      <c r="AF144" s="5">
</c>
      <c r="AG144" s="5">
</c>
      <c r="AH144" s="5">
</c>
      <c r="AI144" s="5">
</c>
      <c r="AJ144" s="5">
</c>
      <c r="AK144" s="5">
</c>
    </row>
    <row r="145" ht="65.25" customHeight="1">
      <c r="A145">
</c>
      <c r="B145">
</c>
      <c r="C145" s="16">
</c>
      <c r="D145" s="16">
</c>
      <c r="E145">
</c>
      <c r="F145">
</c>
      <c r="G145" s="6" cm="1" t="str">
        <f t="array" ref="G145">IF(F145="","",SUBSTITUTE(SUBSTITUTE(SUBSTITUTE(SUBSTITUTE(F145,"&lt;li&gt;",CHAR(10)),"&lt;/li&gt;",""),"&lt;br&gt;",CHAR(10)),"&lt;strong&gt;",""))</f>
        <v/>
      </c>
      <c r="H145" s="6" cm="1" t="str">
        <f t="array" ref="H145">IF(G145="","",SUBSTITUTE(SUBSTITUTE(SUBSTITUTE(SUBSTITUTE(SUBSTITUTE(G145,"&lt;p&gt;",""),"&lt;/p&gt;",""),"&lt;ul&gt;",""),"&lt;/ul&gt;",""),"&lt;/strong&gt;",""))</f>
        <v/>
      </c>
      <c r="I145" s="12" cm="1" t="str">
        <f t="array" ref="I145">IF(C145="","",IF(OR(H145="",H145=0,H145=FALSE),"-",H145))</f>
        <v/>
      </c>
      <c r="J145">
</c>
      <c r="K145">
</c>
      <c r="L145" s="6" cm="1" t="str">
        <f t="array" ref="L145">IF(C145="","",IF(K145="Mort / Plus rien à faire","KO","OK"))</f>
        <v/>
      </c>
      <c r="M145" s="17">
</c>
      <c r="N145" s="13" cm="1" t="str">
        <f t="array" ref="N145">IF(OR(C145="",M145="",M145=0),"",M145)</f>
        <v/>
      </c>
      <c r="O145" s="17">
</c>
      <c r="P145" s="13" cm="1" t="str">
        <f t="array" ref="P145">IF(C145="","",IF(OR(O145="",O145=0),"-",O145))</f>
        <v/>
      </c>
      <c r="Q145" s="18">
</c>
      <c r="R145" s="6" cm="1" t="str">
        <f t="array" ref="R145">IF(C145="","",ROUND(Q145/1000000,3)&amp;" M€")</f>
        <v/>
      </c>
      <c r="S145" s="19">
</c>
      <c r="T145" s="6" cm="1" t="str">
        <f t="array" ref="T145">IF(C145="","",SUBSTITUTE(S145,"","")&amp;"%")</f>
        <v/>
      </c>
      <c r="U145" s="12" cm="1" t="str">
        <f t="array" ref="U145">IF(($N145="")*($P145=""),"",IF(($N145&lt;&gt;"")*($N145&gt;TODAY()-9)*($N145&lt;TODAY()+1)*($P145&lt;&gt;"")*($P145&gt;=TODAY())*($P145&lt;=TODAY()+13),"Semaine passée &amp; à venir",IF(($N145&lt;&gt;"")*($N145&gt;TODAY()-9)*($N145&lt;TODAY()+1),"Semaine passée",IF(($P145&lt;&gt;"")*($P145&gt;=TODAY())*($P145&lt;=TODAY()+13),"À venir","Autre"))))</f>
        <v/>
      </c>
      <c r="V145" s="5">
</c>
      <c r="W145" s="5">
</c>
      <c r="X145" s="5">
</c>
      <c r="Y145" s="5">
</c>
      <c r="Z145" s="5">
</c>
      <c r="AA145" s="5">
</c>
      <c r="AB145" s="5">
</c>
      <c r="AC145" s="5">
</c>
      <c r="AD145" s="5">
</c>
      <c r="AE145" s="5">
</c>
      <c r="AF145" s="5">
</c>
      <c r="AG145" s="5">
</c>
      <c r="AH145" s="5">
</c>
      <c r="AI145" s="5">
</c>
      <c r="AJ145" s="5">
</c>
      <c r="AK145" s="5">
</c>
    </row>
    <row r="146" ht="65.25" customHeight="1">
      <c r="A146">
</c>
      <c r="B146">
</c>
      <c r="C146" s="16">
</c>
      <c r="D146" s="16">
</c>
      <c r="E146">
</c>
      <c r="F146">
</c>
      <c r="G146" s="6" cm="1" t="str">
        <f t="array" ref="G146">IF(F146="","",SUBSTITUTE(SUBSTITUTE(SUBSTITUTE(SUBSTITUTE(F146,"&lt;li&gt;",CHAR(10)),"&lt;/li&gt;",""),"&lt;br&gt;",CHAR(10)),"&lt;strong&gt;",""))</f>
        <v/>
      </c>
      <c r="H146" s="6" cm="1" t="str">
        <f t="array" ref="H146">IF(G146="","",SUBSTITUTE(SUBSTITUTE(SUBSTITUTE(SUBSTITUTE(SUBSTITUTE(G146,"&lt;p&gt;",""),"&lt;/p&gt;",""),"&lt;ul&gt;",""),"&lt;/ul&gt;",""),"&lt;/strong&gt;",""))</f>
        <v/>
      </c>
      <c r="I146" s="12" cm="1" t="str">
        <f t="array" ref="I146">IF(C146="","",IF(OR(H146="",H146=0,H146=FALSE),"-",H146))</f>
        <v/>
      </c>
      <c r="J146">
</c>
      <c r="K146">
</c>
      <c r="L146" s="6" cm="1" t="str">
        <f t="array" ref="L146">IF(C146="","",IF(K146="Mort / Plus rien à faire","KO","OK"))</f>
        <v/>
      </c>
      <c r="M146" s="17">
</c>
      <c r="N146" s="13" cm="1" t="str">
        <f t="array" ref="N146">IF(OR(C146="",M146="",M146=0),"",M146)</f>
        <v/>
      </c>
      <c r="O146" s="17">
</c>
      <c r="P146" s="13" cm="1" t="str">
        <f t="array" ref="P146">IF(C146="","",IF(OR(O146="",O146=0),"-",O146))</f>
        <v/>
      </c>
      <c r="Q146" s="18">
</c>
      <c r="R146" s="6" cm="1" t="str">
        <f t="array" ref="R146">IF(C146="","",ROUND(Q146/1000000,3)&amp;" M€")</f>
        <v/>
      </c>
      <c r="S146" s="19">
</c>
      <c r="T146" s="6" cm="1" t="str">
        <f t="array" ref="T146">IF(C146="","",SUBSTITUTE(S146,"","")&amp;"%")</f>
        <v/>
      </c>
      <c r="U146" s="12" cm="1" t="str">
        <f t="array" ref="U146">IF(($N146="")*($P146=""),"",IF(($N146&lt;&gt;"")*($N146&gt;TODAY()-9)*($N146&lt;TODAY()+1)*($P146&lt;&gt;"")*($P146&gt;=TODAY())*($P146&lt;=TODAY()+13),"Semaine passée &amp; à venir",IF(($N146&lt;&gt;"")*($N146&gt;TODAY()-9)*($N146&lt;TODAY()+1),"Semaine passée",IF(($P146&lt;&gt;"")*($P146&gt;=TODAY())*($P146&lt;=TODAY()+13),"À venir","Autre"))))</f>
        <v/>
      </c>
      <c r="V146" s="5">
</c>
      <c r="W146" s="5">
</c>
      <c r="X146" s="5">
</c>
      <c r="Y146" s="5">
</c>
      <c r="Z146" s="5">
</c>
      <c r="AA146" s="5">
</c>
      <c r="AB146" s="5">
</c>
      <c r="AC146" s="5">
</c>
      <c r="AD146" s="5">
</c>
      <c r="AE146" s="5">
</c>
      <c r="AF146" s="5">
</c>
      <c r="AG146" s="5">
</c>
      <c r="AH146" s="5">
</c>
      <c r="AI146" s="5">
</c>
      <c r="AJ146" s="5">
</c>
      <c r="AK146" s="5">
</c>
    </row>
    <row r="147" ht="65.25" customHeight="1">
      <c r="A147">
</c>
      <c r="B147">
</c>
      <c r="C147" s="16">
</c>
      <c r="D147" s="16">
</c>
      <c r="E147">
</c>
      <c r="F147">
</c>
      <c r="G147" s="6" cm="1" t="str">
        <f t="array" ref="G147">IF(F147="","",SUBSTITUTE(SUBSTITUTE(SUBSTITUTE(SUBSTITUTE(F147,"&lt;li&gt;",CHAR(10)),"&lt;/li&gt;",""),"&lt;br&gt;",CHAR(10)),"&lt;strong&gt;",""))</f>
        <v/>
      </c>
      <c r="H147" s="6" cm="1" t="str">
        <f t="array" ref="H147">IF(G147="","",SUBSTITUTE(SUBSTITUTE(SUBSTITUTE(SUBSTITUTE(SUBSTITUTE(G147,"&lt;p&gt;",""),"&lt;/p&gt;",""),"&lt;ul&gt;",""),"&lt;/ul&gt;",""),"&lt;/strong&gt;",""))</f>
        <v/>
      </c>
      <c r="I147" s="12" cm="1" t="str">
        <f t="array" ref="I147">IF(C147="","",IF(OR(H147="",H147=0,H147=FALSE),"-",H147))</f>
        <v/>
      </c>
      <c r="J147">
</c>
      <c r="K147">
</c>
      <c r="L147" s="6" cm="1" t="str">
        <f t="array" ref="L147">IF(C147="","",IF(K147="Mort / Plus rien à faire","KO","OK"))</f>
        <v/>
      </c>
      <c r="M147" s="17">
</c>
      <c r="N147" s="13" cm="1" t="str">
        <f t="array" ref="N147">IF(OR(C147="",M147="",M147=0),"",M147)</f>
        <v/>
      </c>
      <c r="O147" s="17">
</c>
      <c r="P147" s="13" cm="1" t="str">
        <f t="array" ref="P147">IF(C147="","",IF(OR(O147="",O147=0),"-",O147))</f>
        <v/>
      </c>
      <c r="Q147" s="18">
</c>
      <c r="R147" s="6" cm="1" t="str">
        <f t="array" ref="R147">IF(C147="","",ROUND(Q147/1000000,3)&amp;" M€")</f>
        <v/>
      </c>
      <c r="S147" s="19">
</c>
      <c r="T147" s="6" cm="1" t="str">
        <f t="array" ref="T147">IF(C147="","",SUBSTITUTE(S147,"","")&amp;"%")</f>
        <v/>
      </c>
      <c r="U147" s="12" cm="1" t="str">
        <f t="array" ref="U147">IF(($N147="")*($P147=""),"",IF(($N147&lt;&gt;"")*($N147&gt;TODAY()-9)*($N147&lt;TODAY()+1)*($P147&lt;&gt;"")*($P147&gt;=TODAY())*($P147&lt;=TODAY()+13),"Semaine passée &amp; à venir",IF(($N147&lt;&gt;"")*($N147&gt;TODAY()-9)*($N147&lt;TODAY()+1),"Semaine passée",IF(($P147&lt;&gt;"")*($P147&gt;=TODAY())*($P147&lt;=TODAY()+13),"À venir","Autre"))))</f>
        <v/>
      </c>
      <c r="V147" s="5">
</c>
      <c r="W147" s="5">
</c>
      <c r="X147" s="5">
</c>
      <c r="Y147" s="5">
</c>
      <c r="Z147" s="5">
</c>
      <c r="AA147" s="5">
</c>
      <c r="AB147" s="5">
</c>
      <c r="AC147" s="5">
</c>
      <c r="AD147" s="5">
</c>
      <c r="AE147" s="5">
</c>
      <c r="AF147" s="5">
</c>
      <c r="AG147" s="5">
</c>
      <c r="AH147" s="5">
</c>
      <c r="AI147" s="5">
</c>
      <c r="AJ147" s="5">
</c>
      <c r="AK147" s="5">
</c>
    </row>
    <row r="148" ht="65.25" customHeight="1">
      <c r="A148">
</c>
      <c r="B148">
</c>
      <c r="C148" s="16">
</c>
      <c r="D148" s="16">
</c>
      <c r="E148">
</c>
      <c r="F148">
</c>
      <c r="G148" s="6" cm="1" t="str">
        <f t="array" ref="G148">IF(F148="","",SUBSTITUTE(SUBSTITUTE(SUBSTITUTE(SUBSTITUTE(F148,"&lt;li&gt;",CHAR(10)),"&lt;/li&gt;",""),"&lt;br&gt;",CHAR(10)),"&lt;strong&gt;",""))</f>
        <v/>
      </c>
      <c r="H148" s="6" cm="1" t="str">
        <f t="array" ref="H148">IF(G148="","",SUBSTITUTE(SUBSTITUTE(SUBSTITUTE(SUBSTITUTE(SUBSTITUTE(G148,"&lt;p&gt;",""),"&lt;/p&gt;",""),"&lt;ul&gt;",""),"&lt;/ul&gt;",""),"&lt;/strong&gt;",""))</f>
        <v/>
      </c>
      <c r="I148" s="12" cm="1" t="str">
        <f t="array" ref="I148">IF(C148="","",IF(OR(H148="",H148=0,H148=FALSE),"-",H148))</f>
        <v/>
      </c>
      <c r="J148">
</c>
      <c r="K148">
</c>
      <c r="L148" s="6" cm="1" t="str">
        <f t="array" ref="L148">IF(C148="","",IF(K148="Mort / Plus rien à faire","KO","OK"))</f>
        <v/>
      </c>
      <c r="M148" s="17">
</c>
      <c r="N148" s="13" cm="1" t="str">
        <f t="array" ref="N148">IF(OR(C148="",M148="",M148=0),"",M148)</f>
        <v/>
      </c>
      <c r="O148" s="17">
</c>
      <c r="P148" s="13" cm="1" t="str">
        <f t="array" ref="P148">IF(C148="","",IF(OR(O148="",O148=0),"-",O148))</f>
        <v/>
      </c>
      <c r="Q148" s="18">
</c>
      <c r="R148" s="6" cm="1" t="str">
        <f t="array" ref="R148">IF(C148="","",ROUND(Q148/1000000,3)&amp;" M€")</f>
        <v/>
      </c>
      <c r="S148" s="19">
</c>
      <c r="T148" s="6" cm="1" t="str">
        <f t="array" ref="T148">IF(C148="","",SUBSTITUTE(S148,"","")&amp;"%")</f>
        <v/>
      </c>
      <c r="U148" s="12" cm="1" t="str">
        <f t="array" ref="U148">IF(($N148="")*($P148=""),"",IF(($N148&lt;&gt;"")*($N148&gt;TODAY()-9)*($N148&lt;TODAY()+1)*($P148&lt;&gt;"")*($P148&gt;=TODAY())*($P148&lt;=TODAY()+13),"Semaine passée &amp; à venir",IF(($N148&lt;&gt;"")*($N148&gt;TODAY()-9)*($N148&lt;TODAY()+1),"Semaine passée",IF(($P148&lt;&gt;"")*($P148&gt;=TODAY())*($P148&lt;=TODAY()+13),"À venir","Autre"))))</f>
        <v/>
      </c>
      <c r="V148" s="5">
</c>
      <c r="W148" s="5">
</c>
      <c r="X148" s="5">
</c>
      <c r="Y148" s="5">
</c>
      <c r="Z148" s="5">
</c>
      <c r="AA148" s="5">
</c>
      <c r="AB148" s="5">
</c>
      <c r="AC148" s="5">
</c>
      <c r="AD148" s="5">
</c>
      <c r="AE148" s="5">
</c>
      <c r="AF148" s="5">
</c>
      <c r="AG148" s="5">
</c>
      <c r="AH148" s="5">
</c>
      <c r="AI148" s="5">
</c>
      <c r="AJ148" s="5">
</c>
      <c r="AK148" s="5">
</c>
    </row>
    <row r="149" ht="65.25" customHeight="1">
      <c r="A149">
</c>
      <c r="B149">
</c>
      <c r="C149" s="16">
</c>
      <c r="D149" s="16">
</c>
      <c r="E149">
</c>
      <c r="F149">
</c>
      <c r="G149" s="6" cm="1" t="str">
        <f t="array" ref="G149">IF(F149="","",SUBSTITUTE(SUBSTITUTE(SUBSTITUTE(SUBSTITUTE(F149,"&lt;li&gt;",CHAR(10)),"&lt;/li&gt;",""),"&lt;br&gt;",CHAR(10)),"&lt;strong&gt;",""))</f>
        <v/>
      </c>
      <c r="H149" s="6" cm="1" t="str">
        <f t="array" ref="H149">IF(G149="","",SUBSTITUTE(SUBSTITUTE(SUBSTITUTE(SUBSTITUTE(SUBSTITUTE(G149,"&lt;p&gt;",""),"&lt;/p&gt;",""),"&lt;ul&gt;",""),"&lt;/ul&gt;",""),"&lt;/strong&gt;",""))</f>
        <v/>
      </c>
      <c r="I149" s="12" cm="1" t="str">
        <f t="array" ref="I149">IF(C149="","",IF(OR(H149="",H149=0,H149=FALSE),"-",H149))</f>
        <v/>
      </c>
      <c r="J149">
</c>
      <c r="K149">
</c>
      <c r="L149" s="6" cm="1" t="str">
        <f t="array" ref="L149">IF(C149="","",IF(K149="Mort / Plus rien à faire","KO","OK"))</f>
        <v/>
      </c>
      <c r="M149" s="17">
</c>
      <c r="N149" s="13" cm="1" t="str">
        <f t="array" ref="N149">IF(OR(C149="",M149="",M149=0),"",M149)</f>
        <v/>
      </c>
      <c r="O149" s="17">
</c>
      <c r="P149" s="13" cm="1" t="str">
        <f t="array" ref="P149">IF(C149="","",IF(OR(O149="",O149=0),"-",O149))</f>
        <v/>
      </c>
      <c r="Q149" s="18">
</c>
      <c r="R149" s="6" cm="1" t="str">
        <f t="array" ref="R149">IF(C149="","",ROUND(Q149/1000000,3)&amp;" M€")</f>
        <v/>
      </c>
      <c r="S149" s="19">
</c>
      <c r="T149" s="6" cm="1" t="str">
        <f t="array" ref="T149">IF(C149="","",SUBSTITUTE(S149,"","")&amp;"%")</f>
        <v/>
      </c>
      <c r="U149" s="12" cm="1" t="str">
        <f t="array" ref="U149">IF(($N149="")*($P149=""),"",IF(($N149&lt;&gt;"")*($N149&gt;TODAY()-9)*($N149&lt;TODAY()+1)*($P149&lt;&gt;"")*($P149&gt;=TODAY())*($P149&lt;=TODAY()+13),"Semaine passée &amp; à venir",IF(($N149&lt;&gt;"")*($N149&gt;TODAY()-9)*($N149&lt;TODAY()+1),"Semaine passée",IF(($P149&lt;&gt;"")*($P149&gt;=TODAY())*($P149&lt;=TODAY()+13),"À venir","Autre"))))</f>
        <v/>
      </c>
      <c r="V149" s="5">
</c>
      <c r="W149" s="5">
</c>
      <c r="X149" s="5">
</c>
      <c r="Y149" s="5">
</c>
      <c r="Z149" s="5">
</c>
      <c r="AA149" s="5">
</c>
      <c r="AB149" s="5">
</c>
      <c r="AC149" s="5">
</c>
      <c r="AD149" s="5">
</c>
      <c r="AE149" s="5">
</c>
      <c r="AF149" s="5">
</c>
      <c r="AG149" s="5">
</c>
      <c r="AH149" s="5">
</c>
      <c r="AI149" s="5">
</c>
      <c r="AJ149" s="5">
</c>
      <c r="AK149" s="5">
</c>
    </row>
    <row r="150" ht="65.25" customHeight="1">
      <c r="A150">
</c>
      <c r="B150">
</c>
      <c r="C150" s="16">
</c>
      <c r="D150" s="16">
</c>
      <c r="E150">
</c>
      <c r="F150">
</c>
      <c r="G150" s="6" cm="1" t="str">
        <f t="array" ref="G150">IF(F150="","",SUBSTITUTE(SUBSTITUTE(SUBSTITUTE(SUBSTITUTE(F150,"&lt;li&gt;",CHAR(10)),"&lt;/li&gt;",""),"&lt;br&gt;",CHAR(10)),"&lt;strong&gt;",""))</f>
        <v/>
      </c>
      <c r="H150" s="6" cm="1" t="str">
        <f t="array" ref="H150">IF(G150="","",SUBSTITUTE(SUBSTITUTE(SUBSTITUTE(SUBSTITUTE(SUBSTITUTE(G150,"&lt;p&gt;",""),"&lt;/p&gt;",""),"&lt;ul&gt;",""),"&lt;/ul&gt;",""),"&lt;/strong&gt;",""))</f>
        <v/>
      </c>
      <c r="I150" s="12" cm="1" t="str">
        <f t="array" ref="I150">IF(C150="","",IF(OR(H150="",H150=0,H150=FALSE),"-",H150))</f>
        <v/>
      </c>
      <c r="J150">
</c>
      <c r="K150">
</c>
      <c r="L150" s="6" cm="1" t="str">
        <f t="array" ref="L150">IF(C150="","",IF(K150="Mort / Plus rien à faire","KO","OK"))</f>
        <v/>
      </c>
      <c r="M150" s="17">
</c>
      <c r="N150" s="13" cm="1" t="str">
        <f t="array" ref="N150">IF(OR(C150="",M150="",M150=0),"",M150)</f>
        <v/>
      </c>
      <c r="O150" s="17">
</c>
      <c r="P150" s="13" cm="1" t="str">
        <f t="array" ref="P150">IF(C150="","",IF(OR(O150="",O150=0),"-",O150))</f>
        <v/>
      </c>
      <c r="Q150" s="18">
</c>
      <c r="R150" s="6" cm="1" t="str">
        <f t="array" ref="R150">IF(C150="","",ROUND(Q150/1000000,3)&amp;" M€")</f>
        <v/>
      </c>
      <c r="S150" s="19">
</c>
      <c r="T150" s="6" cm="1" t="str">
        <f t="array" ref="T150">IF(C150="","",SUBSTITUTE(S150,"","")&amp;"%")</f>
        <v/>
      </c>
      <c r="U150" s="12" cm="1" t="str">
        <f t="array" ref="U150">IF(($N150="")*($P150=""),"",IF(($N150&lt;&gt;"")*($N150&gt;TODAY()-9)*($N150&lt;TODAY()+1)*($P150&lt;&gt;"")*($P150&gt;=TODAY())*($P150&lt;=TODAY()+13),"Semaine passée &amp; à venir",IF(($N150&lt;&gt;"")*($N150&gt;TODAY()-9)*($N150&lt;TODAY()+1),"Semaine passée",IF(($P150&lt;&gt;"")*($P150&gt;=TODAY())*($P150&lt;=TODAY()+13),"À venir","Autre"))))</f>
        <v/>
      </c>
      <c r="V150" s="5">
</c>
      <c r="W150" s="5">
</c>
      <c r="X150" s="5">
</c>
      <c r="Y150" s="5">
</c>
      <c r="Z150" s="5">
</c>
      <c r="AA150" s="5">
</c>
      <c r="AB150" s="5">
</c>
      <c r="AC150" s="5">
</c>
      <c r="AD150" s="5">
</c>
      <c r="AE150" s="5">
</c>
      <c r="AF150" s="5">
</c>
      <c r="AG150" s="5">
</c>
      <c r="AH150" s="5">
</c>
      <c r="AI150" s="5">
</c>
      <c r="AJ150" s="5">
</c>
      <c r="AK150" s="5">
</c>
    </row>
    <row r="151" ht="65.25" customHeight="1">
      <c r="A151">
</c>
      <c r="B151">
</c>
      <c r="C151" s="16">
</c>
      <c r="D151" s="16">
</c>
      <c r="E151">
</c>
      <c r="F151">
</c>
      <c r="G151" s="6" cm="1" t="str">
        <f t="array" ref="G151">IF(F151="","",SUBSTITUTE(SUBSTITUTE(SUBSTITUTE(SUBSTITUTE(F151,"&lt;li&gt;",CHAR(10)),"&lt;/li&gt;",""),"&lt;br&gt;",CHAR(10)),"&lt;strong&gt;",""))</f>
        <v/>
      </c>
      <c r="H151" s="6" cm="1" t="str">
        <f t="array" ref="H151">IF(G151="","",SUBSTITUTE(SUBSTITUTE(SUBSTITUTE(SUBSTITUTE(SUBSTITUTE(G151,"&lt;p&gt;",""),"&lt;/p&gt;",""),"&lt;ul&gt;",""),"&lt;/ul&gt;",""),"&lt;/strong&gt;",""))</f>
        <v/>
      </c>
      <c r="I151" s="12" cm="1" t="str">
        <f t="array" ref="I151">IF(C151="","",IF(OR(H151="",H151=0,H151=FALSE),"-",H151))</f>
        <v/>
      </c>
      <c r="J151">
</c>
      <c r="K151">
</c>
      <c r="L151" s="6" cm="1" t="str">
        <f t="array" ref="L151">IF(C151="","",IF(K151="Mort / Plus rien à faire","KO","OK"))</f>
        <v/>
      </c>
      <c r="M151" s="17">
</c>
      <c r="N151" s="13" cm="1" t="str">
        <f t="array" ref="N151">IF(OR(C151="",M151="",M151=0),"",M151)</f>
        <v/>
      </c>
      <c r="O151" s="17">
</c>
      <c r="P151" s="13" cm="1" t="str">
        <f t="array" ref="P151">IF(C151="","",IF(OR(O151="",O151=0),"-",O151))</f>
        <v/>
      </c>
      <c r="Q151" s="18">
</c>
      <c r="R151" s="6" cm="1" t="str">
        <f t="array" ref="R151">IF(C151="","",ROUND(Q151/1000000,3)&amp;" M€")</f>
        <v/>
      </c>
      <c r="S151" s="19">
</c>
      <c r="T151" s="6" cm="1" t="str">
        <f t="array" ref="T151">IF(C151="","",SUBSTITUTE(S151,"","")&amp;"%")</f>
        <v/>
      </c>
      <c r="U151" s="12" cm="1" t="str">
        <f t="array" ref="U151">IF(($N151="")*($P151=""),"",IF(($N151&lt;&gt;"")*($N151&gt;TODAY()-9)*($N151&lt;TODAY()+1)*($P151&lt;&gt;"")*($P151&gt;=TODAY())*($P151&lt;=TODAY()+13),"Semaine passée &amp; à venir",IF(($N151&lt;&gt;"")*($N151&gt;TODAY()-9)*($N151&lt;TODAY()+1),"Semaine passée",IF(($P151&lt;&gt;"")*($P151&gt;=TODAY())*($P151&lt;=TODAY()+13),"À venir","Autre"))))</f>
        <v/>
      </c>
      <c r="V151" s="5">
</c>
      <c r="W151" s="5">
</c>
      <c r="X151" s="5">
</c>
      <c r="Y151" s="5">
</c>
      <c r="Z151" s="5">
</c>
      <c r="AA151" s="5">
</c>
      <c r="AB151" s="5">
</c>
      <c r="AC151" s="5">
</c>
      <c r="AD151" s="5">
</c>
      <c r="AE151" s="5">
</c>
      <c r="AF151" s="5">
</c>
      <c r="AG151" s="5">
</c>
      <c r="AH151" s="5">
</c>
      <c r="AI151" s="5">
</c>
      <c r="AJ151" s="5">
</c>
      <c r="AK151" s="5">
</c>
    </row>
    <row r="152" ht="65.25" customHeight="1">
      <c r="A152">
</c>
      <c r="B152">
</c>
      <c r="C152" s="16">
</c>
      <c r="D152" s="16">
</c>
      <c r="E152">
</c>
      <c r="F152">
</c>
      <c r="G152" s="6" cm="1" t="str">
        <f t="array" ref="G152">IF(F152="","",SUBSTITUTE(SUBSTITUTE(SUBSTITUTE(SUBSTITUTE(F152,"&lt;li&gt;",CHAR(10)),"&lt;/li&gt;",""),"&lt;br&gt;",CHAR(10)),"&lt;strong&gt;",""))</f>
        <v/>
      </c>
      <c r="H152" s="6" cm="1" t="str">
        <f t="array" ref="H152">IF(G152="","",SUBSTITUTE(SUBSTITUTE(SUBSTITUTE(SUBSTITUTE(SUBSTITUTE(G152,"&lt;p&gt;",""),"&lt;/p&gt;",""),"&lt;ul&gt;",""),"&lt;/ul&gt;",""),"&lt;/strong&gt;",""))</f>
        <v/>
      </c>
      <c r="I152" s="12" cm="1" t="str">
        <f t="array" ref="I152">IF(C152="","",IF(OR(H152="",H152=0,H152=FALSE),"-",H152))</f>
        <v/>
      </c>
      <c r="J152">
</c>
      <c r="K152">
</c>
      <c r="L152" s="6" cm="1" t="str">
        <f t="array" ref="L152">IF(C152="","",IF(K152="Mort / Plus rien à faire","KO","OK"))</f>
        <v/>
      </c>
      <c r="M152" s="17">
</c>
      <c r="N152" s="13" cm="1" t="str">
        <f t="array" ref="N152">IF(OR(C152="",M152="",M152=0),"",M152)</f>
        <v/>
      </c>
      <c r="O152" s="17">
</c>
      <c r="P152" s="13" cm="1" t="str">
        <f t="array" ref="P152">IF(C152="","",IF(OR(O152="",O152=0),"-",O152))</f>
        <v/>
      </c>
      <c r="Q152" s="18">
</c>
      <c r="R152" s="6" cm="1" t="str">
        <f t="array" ref="R152">IF(C152="","",ROUND(Q152/1000000,3)&amp;" M€")</f>
        <v/>
      </c>
      <c r="S152" s="19">
</c>
      <c r="T152" s="6" cm="1" t="str">
        <f t="array" ref="T152">IF(C152="","",SUBSTITUTE(S152,"","")&amp;"%")</f>
        <v/>
      </c>
      <c r="U152" s="12" cm="1" t="str">
        <f t="array" ref="U152">IF(($N152="")*($P152=""),"",IF(($N152&lt;&gt;"")*($N152&gt;TODAY()-9)*($N152&lt;TODAY()+1)*($P152&lt;&gt;"")*($P152&gt;=TODAY())*($P152&lt;=TODAY()+13),"Semaine passée &amp; à venir",IF(($N152&lt;&gt;"")*($N152&gt;TODAY()-9)*($N152&lt;TODAY()+1),"Semaine passée",IF(($P152&lt;&gt;"")*($P152&gt;=TODAY())*($P152&lt;=TODAY()+13),"À venir","Autre"))))</f>
        <v/>
      </c>
      <c r="V152" s="5">
</c>
      <c r="W152" s="5">
</c>
      <c r="X152" s="5">
</c>
      <c r="Y152" s="5">
</c>
      <c r="Z152" s="5">
</c>
      <c r="AA152" s="5">
</c>
      <c r="AB152" s="5">
</c>
      <c r="AC152" s="5">
</c>
      <c r="AD152" s="5">
</c>
      <c r="AE152" s="5">
</c>
      <c r="AF152" s="5">
</c>
      <c r="AG152" s="5">
</c>
      <c r="AH152" s="5">
</c>
      <c r="AI152" s="5">
</c>
      <c r="AJ152" s="5">
</c>
      <c r="AK152" s="5">
</c>
    </row>
    <row r="153" ht="65.25" customHeight="1">
      <c r="A153">
</c>
      <c r="B153">
</c>
      <c r="C153" s="16">
</c>
      <c r="D153" s="16">
</c>
      <c r="E153">
</c>
      <c r="F153">
</c>
      <c r="G153" s="6" cm="1" t="str">
        <f t="array" ref="G153">IF(F153="","",SUBSTITUTE(SUBSTITUTE(SUBSTITUTE(SUBSTITUTE(F153,"&lt;li&gt;",CHAR(10)),"&lt;/li&gt;",""),"&lt;br&gt;",CHAR(10)),"&lt;strong&gt;",""))</f>
        <v/>
      </c>
      <c r="H153" s="6" cm="1" t="str">
        <f t="array" ref="H153">IF(G153="","",SUBSTITUTE(SUBSTITUTE(SUBSTITUTE(SUBSTITUTE(SUBSTITUTE(G153,"&lt;p&gt;",""),"&lt;/p&gt;",""),"&lt;ul&gt;",""),"&lt;/ul&gt;",""),"&lt;/strong&gt;",""))</f>
        <v/>
      </c>
      <c r="I153" s="12" cm="1" t="str">
        <f t="array" ref="I153">IF(C153="","",IF(OR(H153="",H153=0,H153=FALSE),"-",H153))</f>
        <v/>
      </c>
      <c r="J153">
</c>
      <c r="K153">
</c>
      <c r="L153" s="6" cm="1" t="str">
        <f t="array" ref="L153">IF(C153="","",IF(K153="Mort / Plus rien à faire","KO","OK"))</f>
        <v/>
      </c>
      <c r="M153" s="17">
</c>
      <c r="N153" s="13" cm="1" t="str">
        <f t="array" ref="N153">IF(OR(C153="",M153="",M153=0),"",M153)</f>
        <v/>
      </c>
      <c r="O153" s="17">
</c>
      <c r="P153" s="13" cm="1" t="str">
        <f t="array" ref="P153">IF(C153="","",IF(OR(O153="",O153=0),"-",O153))</f>
        <v/>
      </c>
      <c r="Q153" s="18">
</c>
      <c r="R153" s="6" cm="1" t="str">
        <f t="array" ref="R153">IF(C153="","",ROUND(Q153/1000000,3)&amp;" M€")</f>
        <v/>
      </c>
      <c r="S153" s="19">
</c>
      <c r="T153" s="6" cm="1" t="str">
        <f t="array" ref="T153">IF(C153="","",SUBSTITUTE(S153,"","")&amp;"%")</f>
        <v/>
      </c>
      <c r="U153" s="12" cm="1" t="str">
        <f t="array" ref="U153">IF(($N153="")*($P153=""),"",IF(($N153&lt;&gt;"")*($N153&gt;TODAY()-9)*($N153&lt;TODAY()+1)*($P153&lt;&gt;"")*($P153&gt;=TODAY())*($P153&lt;=TODAY()+13),"Semaine passée &amp; à venir",IF(($N153&lt;&gt;"")*($N153&gt;TODAY()-9)*($N153&lt;TODAY()+1),"Semaine passée",IF(($P153&lt;&gt;"")*($P153&gt;=TODAY())*($P153&lt;=TODAY()+13),"À venir","Autre"))))</f>
        <v/>
      </c>
      <c r="V153" s="5">
</c>
      <c r="W153" s="5">
</c>
      <c r="X153" s="5">
</c>
      <c r="Y153" s="5">
</c>
      <c r="Z153" s="5">
</c>
      <c r="AA153" s="5">
</c>
      <c r="AB153" s="5">
</c>
      <c r="AC153" s="5">
</c>
      <c r="AD153" s="5">
</c>
      <c r="AE153" s="5">
</c>
      <c r="AF153" s="5">
</c>
      <c r="AG153" s="5">
</c>
      <c r="AH153" s="5">
</c>
      <c r="AI153" s="5">
</c>
      <c r="AJ153" s="5">
</c>
      <c r="AK153" s="5">
</c>
    </row>
    <row r="154" ht="65.25" customHeight="1">
      <c r="A154">
</c>
      <c r="B154">
</c>
      <c r="C154" s="16">
</c>
      <c r="D154" s="16">
</c>
      <c r="E154">
</c>
      <c r="F154">
</c>
      <c r="G154" s="6" cm="1" t="str">
        <f t="array" ref="G154">IF(F154="","",SUBSTITUTE(SUBSTITUTE(SUBSTITUTE(SUBSTITUTE(F154,"&lt;li&gt;",CHAR(10)),"&lt;/li&gt;",""),"&lt;br&gt;",CHAR(10)),"&lt;strong&gt;",""))</f>
        <v/>
      </c>
      <c r="H154" s="6" cm="1" t="str">
        <f t="array" ref="H154">IF(G154="","",SUBSTITUTE(SUBSTITUTE(SUBSTITUTE(SUBSTITUTE(SUBSTITUTE(G154,"&lt;p&gt;",""),"&lt;/p&gt;",""),"&lt;ul&gt;",""),"&lt;/ul&gt;",""),"&lt;/strong&gt;",""))</f>
        <v/>
      </c>
      <c r="I154" s="12" cm="1" t="str">
        <f t="array" ref="I154">IF(C154="","",IF(OR(H154="",H154=0,H154=FALSE),"-",H154))</f>
        <v/>
      </c>
      <c r="J154">
</c>
      <c r="K154">
</c>
      <c r="L154" s="6" cm="1" t="str">
        <f t="array" ref="L154">IF(C154="","",IF(K154="Mort / Plus rien à faire","KO","OK"))</f>
        <v/>
      </c>
      <c r="M154" s="17">
</c>
      <c r="N154" s="13" cm="1" t="str">
        <f t="array" ref="N154">IF(OR(C154="",M154="",M154=0),"",M154)</f>
        <v/>
      </c>
      <c r="O154" s="17">
</c>
      <c r="P154" s="13" cm="1" t="str">
        <f t="array" ref="P154">IF(C154="","",IF(OR(O154="",O154=0),"-",O154))</f>
        <v/>
      </c>
      <c r="Q154" s="18">
</c>
      <c r="R154" s="6" cm="1" t="str">
        <f t="array" ref="R154">IF(C154="","",ROUND(Q154/1000000,3)&amp;" M€")</f>
        <v/>
      </c>
      <c r="S154" s="19">
</c>
      <c r="T154" s="6" cm="1" t="str">
        <f t="array" ref="T154">IF(C154="","",SUBSTITUTE(S154,"","")&amp;"%")</f>
        <v/>
      </c>
      <c r="U154" s="12" cm="1" t="str">
        <f t="array" ref="U154">IF(($N154="")*($P154=""),"",IF(($N154&lt;&gt;"")*($N154&gt;TODAY()-9)*($N154&lt;TODAY()+1)*($P154&lt;&gt;"")*($P154&gt;=TODAY())*($P154&lt;=TODAY()+13),"Semaine passée &amp; à venir",IF(($N154&lt;&gt;"")*($N154&gt;TODAY()-9)*($N154&lt;TODAY()+1),"Semaine passée",IF(($P154&lt;&gt;"")*($P154&gt;=TODAY())*($P154&lt;=TODAY()+13),"À venir","Autre"))))</f>
        <v/>
      </c>
      <c r="V154" s="5">
</c>
      <c r="W154" s="5">
</c>
      <c r="X154" s="5">
</c>
      <c r="Y154" s="5">
</c>
      <c r="Z154" s="5">
</c>
      <c r="AA154" s="5">
</c>
      <c r="AB154" s="5">
</c>
      <c r="AC154" s="5">
</c>
      <c r="AD154" s="5">
</c>
      <c r="AE154" s="5">
</c>
      <c r="AF154" s="5">
</c>
      <c r="AG154" s="5">
</c>
      <c r="AH154" s="5">
</c>
      <c r="AI154" s="5">
</c>
      <c r="AJ154" s="5">
</c>
      <c r="AK154" s="5">
</c>
    </row>
    <row r="155" ht="65.25" customHeight="1">
      <c r="A155">
</c>
      <c r="B155">
</c>
      <c r="C155" s="16">
</c>
      <c r="D155" s="16">
</c>
      <c r="E155">
</c>
      <c r="F155">
</c>
      <c r="G155" s="6" cm="1" t="str">
        <f t="array" ref="G155">IF(F155="","",SUBSTITUTE(SUBSTITUTE(SUBSTITUTE(SUBSTITUTE(F155,"&lt;li&gt;",CHAR(10)),"&lt;/li&gt;",""),"&lt;br&gt;",CHAR(10)),"&lt;strong&gt;",""))</f>
        <v/>
      </c>
      <c r="H155" s="6" cm="1" t="str">
        <f t="array" ref="H155">IF(G155="","",SUBSTITUTE(SUBSTITUTE(SUBSTITUTE(SUBSTITUTE(SUBSTITUTE(G155,"&lt;p&gt;",""),"&lt;/p&gt;",""),"&lt;ul&gt;",""),"&lt;/ul&gt;",""),"&lt;/strong&gt;",""))</f>
        <v/>
      </c>
      <c r="I155" s="12" cm="1" t="str">
        <f t="array" ref="I155">IF(C155="","",IF(OR(H155="",H155=0,H155=FALSE),"-",H155))</f>
        <v/>
      </c>
      <c r="J155">
</c>
      <c r="K155">
</c>
      <c r="L155" s="6" cm="1" t="str">
        <f t="array" ref="L155">IF(C155="","",IF(K155="Mort / Plus rien à faire","KO","OK"))</f>
        <v/>
      </c>
      <c r="M155" s="17">
</c>
      <c r="N155" s="13" cm="1" t="str">
        <f t="array" ref="N155">IF(OR(C155="",M155="",M155=0),"",M155)</f>
        <v/>
      </c>
      <c r="O155" s="17">
</c>
      <c r="P155" s="13" cm="1" t="str">
        <f t="array" ref="P155">IF(C155="","",IF(OR(O155="",O155=0),"-",O155))</f>
        <v/>
      </c>
      <c r="Q155" s="18">
</c>
      <c r="R155" s="6" cm="1" t="str">
        <f t="array" ref="R155">IF(C155="","",ROUND(Q155/1000000,3)&amp;" M€")</f>
        <v/>
      </c>
      <c r="S155" s="19">
</c>
      <c r="T155" s="6" cm="1" t="str">
        <f t="array" ref="T155">IF(C155="","",SUBSTITUTE(S155,"","")&amp;"%")</f>
        <v/>
      </c>
      <c r="U155" s="12" cm="1" t="str">
        <f t="array" ref="U155">IF(($N155="")*($P155=""),"",IF(($N155&lt;&gt;"")*($N155&gt;TODAY()-9)*($N155&lt;TODAY()+1)*($P155&lt;&gt;"")*($P155&gt;=TODAY())*($P155&lt;=TODAY()+13),"Semaine passée &amp; à venir",IF(($N155&lt;&gt;"")*($N155&gt;TODAY()-9)*($N155&lt;TODAY()+1),"Semaine passée",IF(($P155&lt;&gt;"")*($P155&gt;=TODAY())*($P155&lt;=TODAY()+13),"À venir","Autre"))))</f>
        <v/>
      </c>
      <c r="V155" s="5">
</c>
      <c r="W155" s="5">
</c>
      <c r="X155" s="5">
</c>
      <c r="Y155" s="5">
</c>
      <c r="Z155" s="5">
</c>
      <c r="AA155" s="5">
</c>
      <c r="AB155" s="5">
</c>
      <c r="AC155" s="5">
</c>
      <c r="AD155" s="5">
</c>
      <c r="AE155" s="5">
</c>
      <c r="AF155" s="5">
</c>
      <c r="AG155" s="5">
</c>
      <c r="AH155" s="5">
</c>
      <c r="AI155" s="5">
</c>
      <c r="AJ155" s="5">
</c>
      <c r="AK155" s="5">
</c>
    </row>
    <row r="156" ht="65.25" customHeight="1">
      <c r="A156">
</c>
      <c r="B156">
</c>
      <c r="C156" s="16">
</c>
      <c r="D156" s="16">
</c>
      <c r="E156">
</c>
      <c r="F156">
</c>
      <c r="G156" s="6" cm="1" t="str">
        <f t="array" ref="G156">IF(F156="","",SUBSTITUTE(SUBSTITUTE(SUBSTITUTE(SUBSTITUTE(F156,"&lt;li&gt;",CHAR(10)),"&lt;/li&gt;",""),"&lt;br&gt;",CHAR(10)),"&lt;strong&gt;",""))</f>
        <v/>
      </c>
      <c r="H156" s="6" cm="1" t="str">
        <f t="array" ref="H156">IF(G156="","",SUBSTITUTE(SUBSTITUTE(SUBSTITUTE(SUBSTITUTE(SUBSTITUTE(G156,"&lt;p&gt;",""),"&lt;/p&gt;",""),"&lt;ul&gt;",""),"&lt;/ul&gt;",""),"&lt;/strong&gt;",""))</f>
        <v/>
      </c>
      <c r="I156" s="12" cm="1" t="str">
        <f t="array" ref="I156">IF(C156="","",IF(OR(H156="",H156=0,H156=FALSE),"-",H156))</f>
        <v/>
      </c>
      <c r="J156">
</c>
      <c r="K156">
</c>
      <c r="L156" s="6" cm="1" t="str">
        <f t="array" ref="L156">IF(C156="","",IF(K156="Mort / Plus rien à faire","KO","OK"))</f>
        <v/>
      </c>
      <c r="M156" s="17">
</c>
      <c r="N156" s="13" cm="1" t="str">
        <f t="array" ref="N156">IF(OR(C156="",M156="",M156=0),"",M156)</f>
        <v/>
      </c>
      <c r="O156" s="17">
</c>
      <c r="P156" s="13" cm="1" t="str">
        <f t="array" ref="P156">IF(C156="","",IF(OR(O156="",O156=0),"-",O156))</f>
        <v/>
      </c>
      <c r="Q156" s="18">
</c>
      <c r="R156" s="6" cm="1" t="str">
        <f t="array" ref="R156">IF(C156="","",ROUND(Q156/1000000,3)&amp;" M€")</f>
        <v/>
      </c>
      <c r="S156" s="19">
</c>
      <c r="T156" s="6" cm="1" t="str">
        <f t="array" ref="T156">IF(C156="","",SUBSTITUTE(S156,"","")&amp;"%")</f>
        <v/>
      </c>
      <c r="U156" s="12" cm="1" t="str">
        <f t="array" ref="U156">IF(($N156="")*($P156=""),"",IF(($N156&lt;&gt;"")*($N156&gt;TODAY()-9)*($N156&lt;TODAY()+1)*($P156&lt;&gt;"")*($P156&gt;=TODAY())*($P156&lt;=TODAY()+13),"Semaine passée &amp; à venir",IF(($N156&lt;&gt;"")*($N156&gt;TODAY()-9)*($N156&lt;TODAY()+1),"Semaine passée",IF(($P156&lt;&gt;"")*($P156&gt;=TODAY())*($P156&lt;=TODAY()+13),"À venir","Autre"))))</f>
        <v/>
      </c>
      <c r="V156" s="5">
</c>
      <c r="W156" s="5">
</c>
      <c r="X156" s="5">
</c>
      <c r="Y156" s="5">
</c>
      <c r="Z156" s="5">
</c>
      <c r="AA156" s="5">
</c>
      <c r="AB156" s="5">
</c>
      <c r="AC156" s="5">
</c>
      <c r="AD156" s="5">
</c>
      <c r="AE156" s="5">
</c>
      <c r="AF156" s="5">
</c>
      <c r="AG156" s="5">
</c>
      <c r="AH156" s="5">
</c>
      <c r="AI156" s="5">
</c>
      <c r="AJ156" s="5">
</c>
      <c r="AK156" s="5">
</c>
    </row>
    <row r="157" ht="65.25" customHeight="1">
      <c r="A157">
</c>
      <c r="B157">
</c>
      <c r="C157" s="16">
</c>
      <c r="D157" s="16">
</c>
      <c r="E157">
</c>
      <c r="F157">
</c>
      <c r="G157" s="6" cm="1" t="str">
        <f t="array" ref="G157">IF(F157="","",SUBSTITUTE(SUBSTITUTE(SUBSTITUTE(SUBSTITUTE(F157,"&lt;li&gt;",CHAR(10)),"&lt;/li&gt;",""),"&lt;br&gt;",CHAR(10)),"&lt;strong&gt;",""))</f>
        <v/>
      </c>
      <c r="H157" s="6" cm="1" t="str">
        <f t="array" ref="H157">IF(G157="","",SUBSTITUTE(SUBSTITUTE(SUBSTITUTE(SUBSTITUTE(SUBSTITUTE(G157,"&lt;p&gt;",""),"&lt;/p&gt;",""),"&lt;ul&gt;",""),"&lt;/ul&gt;",""),"&lt;/strong&gt;",""))</f>
        <v/>
      </c>
      <c r="I157" s="12" cm="1" t="str">
        <f t="array" ref="I157">IF(C157="","",IF(OR(H157="",H157=0,H157=FALSE),"-",H157))</f>
        <v/>
      </c>
      <c r="J157">
</c>
      <c r="K157">
</c>
      <c r="L157" s="6" cm="1" t="str">
        <f t="array" ref="L157">IF(C157="","",IF(K157="Mort / Plus rien à faire","KO","OK"))</f>
        <v/>
      </c>
      <c r="M157" s="17">
</c>
      <c r="N157" s="13" cm="1" t="str">
        <f t="array" ref="N157">IF(OR(C157="",M157="",M157=0),"",M157)</f>
        <v/>
      </c>
      <c r="O157" s="17">
</c>
      <c r="P157" s="13" cm="1" t="str">
        <f t="array" ref="P157">IF(C157="","",IF(OR(O157="",O157=0),"-",O157))</f>
        <v/>
      </c>
      <c r="Q157" s="18">
</c>
      <c r="R157" s="6" cm="1" t="str">
        <f t="array" ref="R157">IF(C157="","",ROUND(Q157/1000000,3)&amp;" M€")</f>
        <v/>
      </c>
      <c r="S157" s="19">
</c>
      <c r="T157" s="6" cm="1" t="str">
        <f t="array" ref="T157">IF(C157="","",SUBSTITUTE(S157,"","")&amp;"%")</f>
        <v/>
      </c>
      <c r="U157" s="12" cm="1" t="str">
        <f t="array" ref="U157">IF(($N157="")*($P157=""),"",IF(($N157&lt;&gt;"")*($N157&gt;TODAY()-9)*($N157&lt;TODAY()+1)*($P157&lt;&gt;"")*($P157&gt;=TODAY())*($P157&lt;=TODAY()+13),"Semaine passée &amp; à venir",IF(($N157&lt;&gt;"")*($N157&gt;TODAY()-9)*($N157&lt;TODAY()+1),"Semaine passée",IF(($P157&lt;&gt;"")*($P157&gt;=TODAY())*($P157&lt;=TODAY()+13),"À venir","Autre"))))</f>
        <v/>
      </c>
      <c r="V157" s="5">
</c>
      <c r="W157" s="5">
</c>
      <c r="X157" s="5">
</c>
      <c r="Y157" s="5">
</c>
      <c r="Z157" s="5">
</c>
      <c r="AA157" s="5">
</c>
      <c r="AB157" s="5">
</c>
      <c r="AC157" s="5">
</c>
      <c r="AD157" s="5">
</c>
      <c r="AE157" s="5">
</c>
      <c r="AF157" s="5">
</c>
      <c r="AG157" s="5">
</c>
      <c r="AH157" s="5">
</c>
      <c r="AI157" s="5">
</c>
      <c r="AJ157" s="5">
</c>
      <c r="AK157" s="5">
</c>
    </row>
    <row r="158" ht="65.25" customHeight="1">
      <c r="A158">
</c>
      <c r="B158">
</c>
      <c r="C158" s="16">
</c>
      <c r="D158" s="16">
</c>
      <c r="E158">
</c>
      <c r="F158">
</c>
      <c r="G158" s="6" cm="1" t="str">
        <f t="array" ref="G158">IF(F158="","",SUBSTITUTE(SUBSTITUTE(SUBSTITUTE(SUBSTITUTE(F158,"&lt;li&gt;",CHAR(10)),"&lt;/li&gt;",""),"&lt;br&gt;",CHAR(10)),"&lt;strong&gt;",""))</f>
        <v/>
      </c>
      <c r="H158" s="6" cm="1" t="str">
        <f t="array" ref="H158">IF(G158="","",SUBSTITUTE(SUBSTITUTE(SUBSTITUTE(SUBSTITUTE(SUBSTITUTE(G158,"&lt;p&gt;",""),"&lt;/p&gt;",""),"&lt;ul&gt;",""),"&lt;/ul&gt;",""),"&lt;/strong&gt;",""))</f>
        <v/>
      </c>
      <c r="I158" s="12" cm="1" t="str">
        <f t="array" ref="I158">IF(C158="","",IF(OR(H158="",H158=0,H158=FALSE),"-",H158))</f>
        <v/>
      </c>
      <c r="J158">
</c>
      <c r="K158">
</c>
      <c r="L158" s="6" cm="1" t="str">
        <f t="array" ref="L158">IF(C158="","",IF(K158="Mort / Plus rien à faire","KO","OK"))</f>
        <v/>
      </c>
      <c r="M158" s="17">
</c>
      <c r="N158" s="13" cm="1" t="str">
        <f t="array" ref="N158">IF(OR(C158="",M158="",M158=0),"",M158)</f>
        <v/>
      </c>
      <c r="O158" s="17">
</c>
      <c r="P158" s="13" cm="1" t="str">
        <f t="array" ref="P158">IF(C158="","",IF(OR(O158="",O158=0),"-",O158))</f>
        <v/>
      </c>
      <c r="Q158" s="18">
</c>
      <c r="R158" s="6" cm="1" t="str">
        <f t="array" ref="R158">IF(C158="","",ROUND(Q158/1000000,3)&amp;" M€")</f>
        <v/>
      </c>
      <c r="S158" s="19">
</c>
      <c r="T158" s="6" cm="1" t="str">
        <f t="array" ref="T158">IF(C158="","",SUBSTITUTE(S158,"","")&amp;"%")</f>
        <v/>
      </c>
      <c r="U158" s="12" cm="1" t="str">
        <f t="array" ref="U158">IF(($N158="")*($P158=""),"",IF(($N158&lt;&gt;"")*($N158&gt;TODAY()-9)*($N158&lt;TODAY()+1)*($P158&lt;&gt;"")*($P158&gt;=TODAY())*($P158&lt;=TODAY()+13),"Semaine passée &amp; à venir",IF(($N158&lt;&gt;"")*($N158&gt;TODAY()-9)*($N158&lt;TODAY()+1),"Semaine passée",IF(($P158&lt;&gt;"")*($P158&gt;=TODAY())*($P158&lt;=TODAY()+13),"À venir","Autre"))))</f>
        <v/>
      </c>
      <c r="V158" s="5">
</c>
      <c r="W158" s="5">
</c>
      <c r="X158" s="5">
</c>
      <c r="Y158" s="5">
</c>
      <c r="Z158" s="5">
</c>
      <c r="AA158" s="5">
</c>
      <c r="AB158" s="5">
</c>
      <c r="AC158" s="5">
</c>
      <c r="AD158" s="5">
</c>
      <c r="AE158" s="5">
</c>
      <c r="AF158" s="5">
</c>
      <c r="AG158" s="5">
</c>
      <c r="AH158" s="5">
</c>
      <c r="AI158" s="5">
</c>
      <c r="AJ158" s="5">
</c>
      <c r="AK158" s="5">
</c>
    </row>
    <row r="159" ht="65.25" customHeight="1">
      <c r="A159">
</c>
      <c r="B159">
</c>
      <c r="C159" s="16">
</c>
      <c r="D159" s="16">
</c>
      <c r="E159">
</c>
      <c r="F159">
</c>
      <c r="G159" s="6" cm="1" t="str">
        <f t="array" ref="G159">IF(F159="","",SUBSTITUTE(SUBSTITUTE(SUBSTITUTE(SUBSTITUTE(F159,"&lt;li&gt;",CHAR(10)),"&lt;/li&gt;",""),"&lt;br&gt;",CHAR(10)),"&lt;strong&gt;",""))</f>
        <v/>
      </c>
      <c r="H159" s="6" cm="1" t="str">
        <f t="array" ref="H159">IF(G159="","",SUBSTITUTE(SUBSTITUTE(SUBSTITUTE(SUBSTITUTE(SUBSTITUTE(G159,"&lt;p&gt;",""),"&lt;/p&gt;",""),"&lt;ul&gt;",""),"&lt;/ul&gt;",""),"&lt;/strong&gt;",""))</f>
        <v/>
      </c>
      <c r="I159" s="12" cm="1" t="str">
        <f t="array" ref="I159">IF(C159="","",IF(OR(H159="",H159=0,H159=FALSE),"-",H159))</f>
        <v/>
      </c>
      <c r="J159">
</c>
      <c r="K159">
</c>
      <c r="L159" s="6" cm="1" t="str">
        <f t="array" ref="L159">IF(C159="","",IF(K159="Mort / Plus rien à faire","KO","OK"))</f>
        <v/>
      </c>
      <c r="M159" s="17">
</c>
      <c r="N159" s="13" cm="1" t="str">
        <f t="array" ref="N159">IF(OR(C159="",M159="",M159=0),"",M159)</f>
        <v/>
      </c>
      <c r="O159" s="17">
</c>
      <c r="P159" s="13" cm="1" t="str">
        <f t="array" ref="P159">IF(C159="","",IF(OR(O159="",O159=0),"-",O159))</f>
        <v/>
      </c>
      <c r="Q159" s="18">
</c>
      <c r="R159" s="6" cm="1" t="str">
        <f t="array" ref="R159">IF(C159="","",ROUND(Q159/1000000,3)&amp;" M€")</f>
        <v/>
      </c>
      <c r="S159" s="19">
</c>
      <c r="T159" s="6" cm="1" t="str">
        <f t="array" ref="T159">IF(C159="","",SUBSTITUTE(S159,"","")&amp;"%")</f>
        <v/>
      </c>
      <c r="U159" s="12" cm="1" t="str">
        <f t="array" ref="U159">IF(($N159="")*($P159=""),"",IF(($N159&lt;&gt;"")*($N159&gt;TODAY()-9)*($N159&lt;TODAY()+1)*($P159&lt;&gt;"")*($P159&gt;=TODAY())*($P159&lt;=TODAY()+13),"Semaine passée &amp; à venir",IF(($N159&lt;&gt;"")*($N159&gt;TODAY()-9)*($N159&lt;TODAY()+1),"Semaine passée",IF(($P159&lt;&gt;"")*($P159&gt;=TODAY())*($P159&lt;=TODAY()+13),"À venir","Autre"))))</f>
        <v/>
      </c>
      <c r="V159" s="5">
</c>
      <c r="W159" s="5">
</c>
      <c r="X159" s="5">
</c>
      <c r="Y159" s="5">
</c>
      <c r="Z159" s="5">
</c>
      <c r="AA159" s="5">
</c>
      <c r="AB159" s="5">
</c>
      <c r="AC159" s="5">
</c>
      <c r="AD159" s="5">
</c>
      <c r="AE159" s="5">
</c>
      <c r="AF159" s="5">
</c>
      <c r="AG159" s="5">
</c>
      <c r="AH159" s="5">
</c>
      <c r="AI159" s="5">
</c>
      <c r="AJ159" s="5">
</c>
      <c r="AK159" s="5">
</c>
    </row>
    <row r="160" ht="65.25" customHeight="1">
      <c r="A160">
</c>
      <c r="B160">
</c>
      <c r="C160" s="16">
</c>
      <c r="D160" s="16">
</c>
      <c r="E160">
</c>
      <c r="F160">
</c>
      <c r="G160" s="6" cm="1" t="str">
        <f t="array" ref="G160">IF(F160="","",SUBSTITUTE(SUBSTITUTE(SUBSTITUTE(SUBSTITUTE(F160,"&lt;li&gt;",CHAR(10)),"&lt;/li&gt;",""),"&lt;br&gt;",CHAR(10)),"&lt;strong&gt;",""))</f>
        <v/>
      </c>
      <c r="H160" s="6" cm="1" t="str">
        <f t="array" ref="H160">IF(G160="","",SUBSTITUTE(SUBSTITUTE(SUBSTITUTE(SUBSTITUTE(SUBSTITUTE(G160,"&lt;p&gt;",""),"&lt;/p&gt;",""),"&lt;ul&gt;",""),"&lt;/ul&gt;",""),"&lt;/strong&gt;",""))</f>
        <v/>
      </c>
      <c r="I160" s="12" cm="1" t="str">
        <f t="array" ref="I160">IF(C160="","",IF(OR(H160="",H160=0,H160=FALSE),"-",H160))</f>
        <v/>
      </c>
      <c r="J160">
</c>
      <c r="K160">
</c>
      <c r="L160" s="6" cm="1" t="str">
        <f t="array" ref="L160">IF(C160="","",IF(K160="Mort / Plus rien à faire","KO","OK"))</f>
        <v/>
      </c>
      <c r="M160" s="17">
</c>
      <c r="N160" s="13" cm="1" t="str">
        <f t="array" ref="N160">IF(OR(C160="",M160="",M160=0),"",M160)</f>
        <v/>
      </c>
      <c r="O160" s="17">
</c>
      <c r="P160" s="13" cm="1" t="str">
        <f t="array" ref="P160">IF(C160="","",IF(OR(O160="",O160=0),"-",O160))</f>
        <v/>
      </c>
      <c r="Q160" s="18">
</c>
      <c r="R160" s="6" cm="1" t="str">
        <f t="array" ref="R160">IF(C160="","",ROUND(Q160/1000000,3)&amp;" M€")</f>
        <v/>
      </c>
      <c r="S160" s="19">
</c>
      <c r="T160" s="6" cm="1" t="str">
        <f t="array" ref="T160">IF(C160="","",SUBSTITUTE(S160,"","")&amp;"%")</f>
        <v/>
      </c>
      <c r="U160" s="12" cm="1" t="str">
        <f t="array" ref="U160">IF(($N160="")*($P160=""),"",IF(($N160&lt;&gt;"")*($N160&gt;TODAY()-9)*($N160&lt;TODAY()+1)*($P160&lt;&gt;"")*($P160&gt;=TODAY())*($P160&lt;=TODAY()+13),"Semaine passée &amp; à venir",IF(($N160&lt;&gt;"")*($N160&gt;TODAY()-9)*($N160&lt;TODAY()+1),"Semaine passée",IF(($P160&lt;&gt;"")*($P160&gt;=TODAY())*($P160&lt;=TODAY()+13),"À venir","Autre"))))</f>
        <v/>
      </c>
      <c r="V160" s="5">
</c>
      <c r="W160" s="5">
</c>
      <c r="X160" s="5">
</c>
      <c r="Y160" s="5">
</c>
      <c r="Z160" s="5">
</c>
      <c r="AA160" s="5">
</c>
      <c r="AB160" s="5">
</c>
      <c r="AC160" s="5">
</c>
      <c r="AD160" s="5">
</c>
      <c r="AE160" s="5">
</c>
      <c r="AF160" s="5">
</c>
      <c r="AG160" s="5">
</c>
      <c r="AH160" s="5">
</c>
      <c r="AI160" s="5">
</c>
      <c r="AJ160" s="5">
</c>
      <c r="AK160" s="5">
</c>
    </row>
    <row r="161" ht="65.25" customHeight="1">
      <c r="A161">
</c>
      <c r="B161">
</c>
      <c r="C161" s="16">
</c>
      <c r="D161" s="16">
</c>
      <c r="E161">
</c>
      <c r="F161">
</c>
      <c r="G161" s="6" cm="1" t="str">
        <f t="array" ref="G161">IF(F161="","",SUBSTITUTE(SUBSTITUTE(SUBSTITUTE(SUBSTITUTE(F161,"&lt;li&gt;",CHAR(10)),"&lt;/li&gt;",""),"&lt;br&gt;",CHAR(10)),"&lt;strong&gt;",""))</f>
        <v/>
      </c>
      <c r="H161" s="6" cm="1" t="str">
        <f t="array" ref="H161">IF(G161="","",SUBSTITUTE(SUBSTITUTE(SUBSTITUTE(SUBSTITUTE(SUBSTITUTE(G161,"&lt;p&gt;",""),"&lt;/p&gt;",""),"&lt;ul&gt;",""),"&lt;/ul&gt;",""),"&lt;/strong&gt;",""))</f>
        <v/>
      </c>
      <c r="I161" s="12" cm="1" t="str">
        <f t="array" ref="I161">IF(C161="","",IF(OR(H161="",H161=0,H161=FALSE),"-",H161))</f>
        <v/>
      </c>
      <c r="J161">
</c>
      <c r="K161">
</c>
      <c r="L161" s="6" cm="1" t="str">
        <f t="array" ref="L161">IF(C161="","",IF(K161="Mort / Plus rien à faire","KO","OK"))</f>
        <v/>
      </c>
      <c r="M161" s="17">
</c>
      <c r="N161" s="13" cm="1" t="str">
        <f t="array" ref="N161">IF(OR(C161="",M161="",M161=0),"",M161)</f>
        <v/>
      </c>
      <c r="O161" s="17">
</c>
      <c r="P161" s="13" cm="1" t="str">
        <f t="array" ref="P161">IF(C161="","",IF(OR(O161="",O161=0),"-",O161))</f>
        <v/>
      </c>
      <c r="Q161" s="18">
</c>
      <c r="R161" s="6" cm="1" t="str">
        <f t="array" ref="R161">IF(C161="","",ROUND(Q161/1000000,3)&amp;" M€")</f>
        <v/>
      </c>
      <c r="S161" s="19">
</c>
      <c r="T161" s="6" cm="1" t="str">
        <f t="array" ref="T161">IF(C161="","",SUBSTITUTE(S161,"","")&amp;"%")</f>
        <v/>
      </c>
      <c r="U161" s="12" cm="1" t="str">
        <f t="array" ref="U161">IF(($N161="")*($P161=""),"",IF(($N161&lt;&gt;"")*($N161&gt;TODAY()-9)*($N161&lt;TODAY()+1)*($P161&lt;&gt;"")*($P161&gt;=TODAY())*($P161&lt;=TODAY()+13),"Semaine passée &amp; à venir",IF(($N161&lt;&gt;"")*($N161&gt;TODAY()-9)*($N161&lt;TODAY()+1),"Semaine passée",IF(($P161&lt;&gt;"")*($P161&gt;=TODAY())*($P161&lt;=TODAY()+13),"À venir","Autre"))))</f>
        <v/>
      </c>
      <c r="V161" s="5">
</c>
      <c r="W161" s="5">
</c>
      <c r="X161" s="5">
</c>
      <c r="Y161" s="5">
</c>
      <c r="Z161" s="5">
</c>
      <c r="AA161" s="5">
</c>
      <c r="AB161" s="5">
</c>
      <c r="AC161" s="5">
</c>
      <c r="AD161" s="5">
</c>
      <c r="AE161" s="5">
</c>
      <c r="AF161" s="5">
</c>
      <c r="AG161" s="5">
</c>
      <c r="AH161" s="5">
</c>
      <c r="AI161" s="5">
</c>
      <c r="AJ161" s="5">
</c>
      <c r="AK161" s="5">
</c>
    </row>
    <row r="162" ht="65.25" customHeight="1">
      <c r="A162">
</c>
      <c r="B162">
</c>
      <c r="C162" s="16">
</c>
      <c r="D162" s="16">
</c>
      <c r="E162">
</c>
      <c r="F162">
</c>
      <c r="G162" s="6" cm="1" t="str">
        <f t="array" ref="G162">IF(F162="","",SUBSTITUTE(SUBSTITUTE(SUBSTITUTE(SUBSTITUTE(F162,"&lt;li&gt;",CHAR(10)),"&lt;/li&gt;",""),"&lt;br&gt;",CHAR(10)),"&lt;strong&gt;",""))</f>
        <v/>
      </c>
      <c r="H162" s="6" cm="1" t="str">
        <f t="array" ref="H162">IF(G162="","",SUBSTITUTE(SUBSTITUTE(SUBSTITUTE(SUBSTITUTE(SUBSTITUTE(G162,"&lt;p&gt;",""),"&lt;/p&gt;",""),"&lt;ul&gt;",""),"&lt;/ul&gt;",""),"&lt;/strong&gt;",""))</f>
        <v/>
      </c>
      <c r="I162" s="12" cm="1" t="str">
        <f t="array" ref="I162">IF(C162="","",IF(OR(H162="",H162=0,H162=FALSE),"-",H162))</f>
        <v/>
      </c>
      <c r="J162">
</c>
      <c r="K162">
</c>
      <c r="L162" s="6" cm="1" t="str">
        <f t="array" ref="L162">IF(C162="","",IF(K162="Mort / Plus rien à faire","KO","OK"))</f>
        <v/>
      </c>
      <c r="M162" s="17">
</c>
      <c r="N162" s="13" cm="1" t="str">
        <f t="array" ref="N162">IF(OR(C162="",M162="",M162=0),"",M162)</f>
        <v/>
      </c>
      <c r="O162" s="17">
</c>
      <c r="P162" s="13" cm="1" t="str">
        <f t="array" ref="P162">IF(C162="","",IF(OR(O162="",O162=0),"-",O162))</f>
        <v/>
      </c>
      <c r="Q162" s="18">
</c>
      <c r="R162" s="6" cm="1" t="str">
        <f t="array" ref="R162">IF(C162="","",ROUND(Q162/1000000,3)&amp;" M€")</f>
        <v/>
      </c>
      <c r="S162" s="19">
</c>
      <c r="T162" s="6" cm="1" t="str">
        <f t="array" ref="T162">IF(C162="","",SUBSTITUTE(S162,"","")&amp;"%")</f>
        <v/>
      </c>
      <c r="U162" s="12" cm="1" t="str">
        <f t="array" ref="U162">IF(($N162="")*($P162=""),"",IF(($N162&lt;&gt;"")*($N162&gt;TODAY()-9)*($N162&lt;TODAY()+1)*($P162&lt;&gt;"")*($P162&gt;=TODAY())*($P162&lt;=TODAY()+13),"Semaine passée &amp; à venir",IF(($N162&lt;&gt;"")*($N162&gt;TODAY()-9)*($N162&lt;TODAY()+1),"Semaine passée",IF(($P162&lt;&gt;"")*($P162&gt;=TODAY())*($P162&lt;=TODAY()+13),"À venir","Autre"))))</f>
        <v/>
      </c>
      <c r="V162" s="5">
</c>
      <c r="W162" s="5">
</c>
      <c r="X162" s="5">
</c>
      <c r="Y162" s="5">
</c>
      <c r="Z162" s="5">
</c>
      <c r="AA162" s="5">
</c>
      <c r="AB162" s="5">
</c>
      <c r="AC162" s="5">
</c>
      <c r="AD162" s="5">
</c>
      <c r="AE162" s="5">
</c>
      <c r="AF162" s="5">
</c>
      <c r="AG162" s="5">
</c>
      <c r="AH162" s="5">
</c>
      <c r="AI162" s="5">
</c>
      <c r="AJ162" s="5">
</c>
      <c r="AK162" s="5">
</c>
    </row>
    <row r="163" ht="65.25" customHeight="1">
      <c r="A163">
</c>
      <c r="B163">
</c>
      <c r="C163" s="16">
</c>
      <c r="D163" s="16">
</c>
      <c r="E163">
</c>
      <c r="F163">
</c>
      <c r="G163" s="6" cm="1" t="str">
        <f t="array" ref="G163">IF(F163="","",SUBSTITUTE(SUBSTITUTE(SUBSTITUTE(SUBSTITUTE(F163,"&lt;li&gt;",CHAR(10)),"&lt;/li&gt;",""),"&lt;br&gt;",CHAR(10)),"&lt;strong&gt;",""))</f>
        <v/>
      </c>
      <c r="H163" s="6" cm="1" t="str">
        <f t="array" ref="H163">IF(G163="","",SUBSTITUTE(SUBSTITUTE(SUBSTITUTE(SUBSTITUTE(SUBSTITUTE(G163,"&lt;p&gt;",""),"&lt;/p&gt;",""),"&lt;ul&gt;",""),"&lt;/ul&gt;",""),"&lt;/strong&gt;",""))</f>
        <v/>
      </c>
      <c r="I163" s="12" cm="1" t="str">
        <f t="array" ref="I163">IF(C163="","",IF(OR(H163="",H163=0,H163=FALSE),"-",H163))</f>
        <v/>
      </c>
      <c r="J163">
</c>
      <c r="K163">
</c>
      <c r="L163" s="6" cm="1" t="str">
        <f t="array" ref="L163">IF(C163="","",IF(K163="Mort / Plus rien à faire","KO","OK"))</f>
        <v/>
      </c>
      <c r="M163" s="17">
</c>
      <c r="N163" s="13" cm="1" t="str">
        <f t="array" ref="N163">IF(OR(C163="",M163="",M163=0),"",M163)</f>
        <v/>
      </c>
      <c r="O163" s="17">
</c>
      <c r="P163" s="13" cm="1" t="str">
        <f t="array" ref="P163">IF(C163="","",IF(OR(O163="",O163=0),"-",O163))</f>
        <v/>
      </c>
      <c r="Q163" s="18">
</c>
      <c r="R163" s="6" cm="1" t="str">
        <f t="array" ref="R163">IF(C163="","",ROUND(Q163/1000000,3)&amp;" M€")</f>
        <v/>
      </c>
      <c r="S163" s="19">
</c>
      <c r="T163" s="6" cm="1" t="str">
        <f t="array" ref="T163">IF(C163="","",SUBSTITUTE(S163,"","")&amp;"%")</f>
        <v/>
      </c>
      <c r="U163" s="12" cm="1" t="str">
        <f t="array" ref="U163">IF(($N163="")*($P163=""),"",IF(($N163&lt;&gt;"")*($N163&gt;TODAY()-9)*($N163&lt;TODAY()+1)*($P163&lt;&gt;"")*($P163&gt;=TODAY())*($P163&lt;=TODAY()+13),"Semaine passée &amp; à venir",IF(($N163&lt;&gt;"")*($N163&gt;TODAY()-9)*($N163&lt;TODAY()+1),"Semaine passée",IF(($P163&lt;&gt;"")*($P163&gt;=TODAY())*($P163&lt;=TODAY()+13),"À venir","Autre"))))</f>
        <v/>
      </c>
      <c r="V163" s="5">
</c>
      <c r="W163" s="5">
</c>
      <c r="X163" s="5">
</c>
      <c r="Y163" s="5">
</c>
      <c r="Z163" s="5">
</c>
      <c r="AA163" s="5">
</c>
      <c r="AB163" s="5">
</c>
      <c r="AC163" s="5">
</c>
      <c r="AD163" s="5">
</c>
      <c r="AE163" s="5">
</c>
      <c r="AF163" s="5">
</c>
      <c r="AG163" s="5">
</c>
      <c r="AH163" s="5">
</c>
      <c r="AI163" s="5">
</c>
      <c r="AJ163" s="5">
</c>
      <c r="AK163" s="5">
</c>
    </row>
    <row r="164" ht="65.25" customHeight="1">
      <c r="A164">
</c>
      <c r="B164">
</c>
      <c r="C164" s="16">
</c>
      <c r="D164" s="16">
</c>
      <c r="E164">
</c>
      <c r="F164">
</c>
      <c r="G164" s="6" cm="1" t="str">
        <f t="array" ref="G164">IF(F164="","",SUBSTITUTE(SUBSTITUTE(SUBSTITUTE(SUBSTITUTE(F164,"&lt;li&gt;",CHAR(10)),"&lt;/li&gt;",""),"&lt;br&gt;",CHAR(10)),"&lt;strong&gt;",""))</f>
        <v/>
      </c>
      <c r="H164" s="6" cm="1" t="str">
        <f t="array" ref="H164">IF(G164="","",SUBSTITUTE(SUBSTITUTE(SUBSTITUTE(SUBSTITUTE(SUBSTITUTE(G164,"&lt;p&gt;",""),"&lt;/p&gt;",""),"&lt;ul&gt;",""),"&lt;/ul&gt;",""),"&lt;/strong&gt;",""))</f>
        <v/>
      </c>
      <c r="I164" s="12" cm="1" t="str">
        <f t="array" ref="I164">IF(C164="","",IF(OR(H164="",H164=0,H164=FALSE),"-",H164))</f>
        <v/>
      </c>
      <c r="J164">
</c>
      <c r="K164">
</c>
      <c r="L164" s="6" cm="1" t="str">
        <f t="array" ref="L164">IF(C164="","",IF(K164="Mort / Plus rien à faire","KO","OK"))</f>
        <v/>
      </c>
      <c r="M164" s="17">
</c>
      <c r="N164" s="13" cm="1" t="str">
        <f t="array" ref="N164">IF(OR(C164="",M164="",M164=0),"",M164)</f>
        <v/>
      </c>
      <c r="O164" s="17">
</c>
      <c r="P164" s="13" cm="1" t="str">
        <f t="array" ref="P164">IF(C164="","",IF(OR(O164="",O164=0),"-",O164))</f>
        <v/>
      </c>
      <c r="Q164" s="18">
</c>
      <c r="R164" s="6" cm="1" t="str">
        <f t="array" ref="R164">IF(C164="","",ROUND(Q164/1000000,3)&amp;" M€")</f>
        <v/>
      </c>
      <c r="S164" s="19">
</c>
      <c r="T164" s="6" cm="1" t="str">
        <f t="array" ref="T164">IF(C164="","",SUBSTITUTE(S164,"","")&amp;"%")</f>
        <v/>
      </c>
      <c r="U164" s="12" cm="1" t="str">
        <f t="array" ref="U164">IF(($N164="")*($P164=""),"",IF(($N164&lt;&gt;"")*($N164&gt;TODAY()-9)*($N164&lt;TODAY()+1)*($P164&lt;&gt;"")*($P164&gt;=TODAY())*($P164&lt;=TODAY()+13),"Semaine passée &amp; à venir",IF(($N164&lt;&gt;"")*($N164&gt;TODAY()-9)*($N164&lt;TODAY()+1),"Semaine passée",IF(($P164&lt;&gt;"")*($P164&gt;=TODAY())*($P164&lt;=TODAY()+13),"À venir","Autre"))))</f>
        <v/>
      </c>
      <c r="V164" s="5">
</c>
      <c r="W164" s="5">
</c>
      <c r="X164" s="5">
</c>
      <c r="Y164" s="5">
</c>
      <c r="Z164" s="5">
</c>
      <c r="AA164" s="5">
</c>
      <c r="AB164" s="5">
</c>
      <c r="AC164" s="5">
</c>
      <c r="AD164" s="5">
</c>
      <c r="AE164" s="5">
</c>
      <c r="AF164" s="5">
</c>
      <c r="AG164" s="5">
</c>
      <c r="AH164" s="5">
</c>
      <c r="AI164" s="5">
</c>
      <c r="AJ164" s="5">
</c>
      <c r="AK164" s="5">
</c>
    </row>
    <row r="165" ht="65.25" customHeight="1">
      <c r="A165">
</c>
      <c r="B165">
</c>
      <c r="C165" s="16">
</c>
      <c r="D165" s="16">
</c>
      <c r="E165">
</c>
      <c r="F165">
</c>
      <c r="G165" s="6" cm="1" t="str">
        <f t="array" ref="G165">IF(F165="","",SUBSTITUTE(SUBSTITUTE(SUBSTITUTE(SUBSTITUTE(F165,"&lt;li&gt;",CHAR(10)),"&lt;/li&gt;",""),"&lt;br&gt;",CHAR(10)),"&lt;strong&gt;",""))</f>
        <v/>
      </c>
      <c r="H165" s="6" cm="1" t="str">
        <f t="array" ref="H165">IF(G165="","",SUBSTITUTE(SUBSTITUTE(SUBSTITUTE(SUBSTITUTE(SUBSTITUTE(G165,"&lt;p&gt;",""),"&lt;/p&gt;",""),"&lt;ul&gt;",""),"&lt;/ul&gt;",""),"&lt;/strong&gt;",""))</f>
        <v/>
      </c>
      <c r="I165" s="12" cm="1" t="str">
        <f t="array" ref="I165">IF(C165="","",IF(OR(H165="",H165=0,H165=FALSE),"-",H165))</f>
        <v/>
      </c>
      <c r="J165">
</c>
      <c r="K165">
</c>
      <c r="L165" s="6" cm="1" t="str">
        <f t="array" ref="L165">IF(C165="","",IF(K165="Mort / Plus rien à faire","KO","OK"))</f>
        <v/>
      </c>
      <c r="M165" s="17">
</c>
      <c r="N165" s="13" cm="1" t="str">
        <f t="array" ref="N165">IF(OR(C165="",M165="",M165=0),"",M165)</f>
        <v/>
      </c>
      <c r="O165" s="17">
</c>
      <c r="P165" s="13" cm="1" t="str">
        <f t="array" ref="P165">IF(C165="","",IF(OR(O165="",O165=0),"-",O165))</f>
        <v/>
      </c>
      <c r="Q165" s="18">
</c>
      <c r="R165" s="6" cm="1" t="str">
        <f t="array" ref="R165">IF(C165="","",ROUND(Q165/1000000,3)&amp;" M€")</f>
        <v/>
      </c>
      <c r="S165" s="19">
</c>
      <c r="T165" s="6" cm="1" t="str">
        <f t="array" ref="T165">IF(C165="","",SUBSTITUTE(S165,"","")&amp;"%")</f>
        <v/>
      </c>
      <c r="U165" s="12" cm="1" t="str">
        <f t="array" ref="U165">IF(($N165="")*($P165=""),"",IF(($N165&lt;&gt;"")*($N165&gt;TODAY()-9)*($N165&lt;TODAY()+1)*($P165&lt;&gt;"")*($P165&gt;=TODAY())*($P165&lt;=TODAY()+13),"Semaine passée &amp; à venir",IF(($N165&lt;&gt;"")*($N165&gt;TODAY()-9)*($N165&lt;TODAY()+1),"Semaine passée",IF(($P165&lt;&gt;"")*($P165&gt;=TODAY())*($P165&lt;=TODAY()+13),"À venir","Autre"))))</f>
        <v/>
      </c>
      <c r="V165" s="5">
</c>
      <c r="W165" s="5">
</c>
      <c r="X165" s="5">
</c>
      <c r="Y165" s="5">
</c>
      <c r="Z165" s="5">
</c>
      <c r="AA165" s="5">
</c>
      <c r="AB165" s="5">
</c>
      <c r="AC165" s="5">
</c>
      <c r="AD165" s="5">
</c>
      <c r="AE165" s="5">
</c>
      <c r="AF165" s="5">
</c>
      <c r="AG165" s="5">
</c>
      <c r="AH165" s="5">
</c>
      <c r="AI165" s="5">
</c>
      <c r="AJ165" s="5">
</c>
      <c r="AK165" s="5">
</c>
    </row>
    <row r="166" ht="65.25" customHeight="1">
      <c r="A166">
</c>
      <c r="B166">
</c>
      <c r="C166" s="16">
</c>
      <c r="D166" s="16">
</c>
      <c r="E166">
</c>
      <c r="F166">
</c>
      <c r="G166" s="6" cm="1" t="str">
        <f t="array" ref="G166">IF(F166="","",SUBSTITUTE(SUBSTITUTE(SUBSTITUTE(SUBSTITUTE(F166,"&lt;li&gt;",CHAR(10)),"&lt;/li&gt;",""),"&lt;br&gt;",CHAR(10)),"&lt;strong&gt;",""))</f>
        <v/>
      </c>
      <c r="H166" s="6" cm="1" t="str">
        <f t="array" ref="H166">IF(G166="","",SUBSTITUTE(SUBSTITUTE(SUBSTITUTE(SUBSTITUTE(SUBSTITUTE(G166,"&lt;p&gt;",""),"&lt;/p&gt;",""),"&lt;ul&gt;",""),"&lt;/ul&gt;",""),"&lt;/strong&gt;",""))</f>
        <v/>
      </c>
      <c r="I166" s="12" cm="1" t="str">
        <f t="array" ref="I166">IF(C166="","",IF(OR(H166="",H166=0,H166=FALSE),"-",H166))</f>
        <v/>
      </c>
      <c r="J166">
</c>
      <c r="K166">
</c>
      <c r="L166" s="6" cm="1" t="str">
        <f t="array" ref="L166">IF(C166="","",IF(K166="Mort / Plus rien à faire","KO","OK"))</f>
        <v/>
      </c>
      <c r="M166" s="17">
</c>
      <c r="N166" s="13" cm="1" t="str">
        <f t="array" ref="N166">IF(OR(C166="",M166="",M166=0),"",M166)</f>
        <v/>
      </c>
      <c r="O166" s="17">
</c>
      <c r="P166" s="13" cm="1" t="str">
        <f t="array" ref="P166">IF(C166="","",IF(OR(O166="",O166=0),"-",O166))</f>
        <v/>
      </c>
      <c r="Q166" s="18">
</c>
      <c r="R166" s="6" cm="1" t="str">
        <f t="array" ref="R166">IF(C166="","",ROUND(Q166/1000000,3)&amp;" M€")</f>
        <v/>
      </c>
      <c r="S166" s="19">
</c>
      <c r="T166" s="6" cm="1" t="str">
        <f t="array" ref="T166">IF(C166="","",SUBSTITUTE(S166,"","")&amp;"%")</f>
        <v/>
      </c>
      <c r="U166" s="12" cm="1" t="str">
        <f t="array" ref="U166">IF(($N166="")*($P166=""),"",IF(($N166&lt;&gt;"")*($N166&gt;TODAY()-9)*($N166&lt;TODAY()+1)*($P166&lt;&gt;"")*($P166&gt;=TODAY())*($P166&lt;=TODAY()+13),"Semaine passée &amp; à venir",IF(($N166&lt;&gt;"")*($N166&gt;TODAY()-9)*($N166&lt;TODAY()+1),"Semaine passée",IF(($P166&lt;&gt;"")*($P166&gt;=TODAY())*($P166&lt;=TODAY()+13),"À venir","Autre"))))</f>
        <v/>
      </c>
      <c r="V166" s="5">
</c>
      <c r="W166" s="5">
</c>
      <c r="X166" s="5">
</c>
      <c r="Y166" s="5">
</c>
      <c r="Z166" s="5">
</c>
      <c r="AA166" s="5">
</c>
      <c r="AB166" s="5">
</c>
      <c r="AC166" s="5">
</c>
      <c r="AD166" s="5">
</c>
      <c r="AE166" s="5">
</c>
      <c r="AF166" s="5">
</c>
      <c r="AG166" s="5">
</c>
      <c r="AH166" s="5">
</c>
      <c r="AI166" s="5">
</c>
      <c r="AJ166" s="5">
</c>
      <c r="AK166" s="5">
</c>
    </row>
    <row r="167" ht="65.25" customHeight="1">
      <c r="A167">
</c>
      <c r="B167">
</c>
      <c r="C167" s="16">
</c>
      <c r="D167" s="16">
</c>
      <c r="E167">
</c>
      <c r="F167">
</c>
      <c r="G167" s="6" cm="1" t="str">
        <f t="array" ref="G167">IF(F167="","",SUBSTITUTE(SUBSTITUTE(SUBSTITUTE(SUBSTITUTE(F167,"&lt;li&gt;",CHAR(10)),"&lt;/li&gt;",""),"&lt;br&gt;",CHAR(10)),"&lt;strong&gt;",""))</f>
        <v/>
      </c>
      <c r="H167" s="6" cm="1" t="str">
        <f t="array" ref="H167">IF(G167="","",SUBSTITUTE(SUBSTITUTE(SUBSTITUTE(SUBSTITUTE(SUBSTITUTE(G167,"&lt;p&gt;",""),"&lt;/p&gt;",""),"&lt;ul&gt;",""),"&lt;/ul&gt;",""),"&lt;/strong&gt;",""))</f>
        <v/>
      </c>
      <c r="I167" s="12" cm="1" t="str">
        <f t="array" ref="I167">IF(C167="","",IF(OR(H167="",H167=0,H167=FALSE),"-",H167))</f>
        <v/>
      </c>
      <c r="J167">
</c>
      <c r="K167">
</c>
      <c r="L167" s="6" cm="1" t="str">
        <f t="array" ref="L167">IF(C167="","",IF(K167="Mort / Plus rien à faire","KO","OK"))</f>
        <v/>
      </c>
      <c r="M167" s="17">
</c>
      <c r="N167" s="13" cm="1" t="str">
        <f t="array" ref="N167">IF(OR(C167="",M167="",M167=0),"",M167)</f>
        <v/>
      </c>
      <c r="O167" s="17">
</c>
      <c r="P167" s="13" cm="1" t="str">
        <f t="array" ref="P167">IF(C167="","",IF(OR(O167="",O167=0),"-",O167))</f>
        <v/>
      </c>
      <c r="Q167" s="18">
</c>
      <c r="R167" s="6" cm="1" t="str">
        <f t="array" ref="R167">IF(C167="","",ROUND(Q167/1000000,3)&amp;" M€")</f>
        <v/>
      </c>
      <c r="S167" s="19">
</c>
      <c r="T167" s="6" cm="1" t="str">
        <f t="array" ref="T167">IF(C167="","",SUBSTITUTE(S167,"","")&amp;"%")</f>
        <v/>
      </c>
      <c r="U167" s="12" cm="1" t="str">
        <f t="array" ref="U167">IF(($N167="")*($P167=""),"",IF(($N167&lt;&gt;"")*($N167&gt;TODAY()-9)*($N167&lt;TODAY()+1)*($P167&lt;&gt;"")*($P167&gt;=TODAY())*($P167&lt;=TODAY()+13),"Semaine passée &amp; à venir",IF(($N167&lt;&gt;"")*($N167&gt;TODAY()-9)*($N167&lt;TODAY()+1),"Semaine passée",IF(($P167&lt;&gt;"")*($P167&gt;=TODAY())*($P167&lt;=TODAY()+13),"À venir","Autre"))))</f>
        <v/>
      </c>
      <c r="V167" s="5">
</c>
      <c r="W167" s="5">
</c>
      <c r="X167" s="5">
</c>
      <c r="Y167" s="5">
</c>
      <c r="Z167" s="5">
</c>
      <c r="AA167" s="5">
</c>
      <c r="AB167" s="5">
</c>
      <c r="AC167" s="5">
</c>
      <c r="AD167" s="5">
</c>
      <c r="AE167" s="5">
</c>
      <c r="AF167" s="5">
</c>
      <c r="AG167" s="5">
</c>
      <c r="AH167" s="5">
</c>
      <c r="AI167" s="5">
</c>
      <c r="AJ167" s="5">
</c>
      <c r="AK167" s="5">
</c>
    </row>
    <row r="168" ht="65.25" customHeight="1">
      <c r="A168">
</c>
      <c r="B168">
</c>
      <c r="C168" s="16">
</c>
      <c r="D168" s="16">
</c>
      <c r="E168">
</c>
      <c r="F168">
</c>
      <c r="G168" s="6" cm="1" t="str">
        <f t="array" ref="G168">IF(F168="","",SUBSTITUTE(SUBSTITUTE(SUBSTITUTE(SUBSTITUTE(F168,"&lt;li&gt;",CHAR(10)),"&lt;/li&gt;",""),"&lt;br&gt;",CHAR(10)),"&lt;strong&gt;",""))</f>
        <v/>
      </c>
      <c r="H168" s="6" cm="1" t="str">
        <f t="array" ref="H168">IF(G168="","",SUBSTITUTE(SUBSTITUTE(SUBSTITUTE(SUBSTITUTE(SUBSTITUTE(G168,"&lt;p&gt;",""),"&lt;/p&gt;",""),"&lt;ul&gt;",""),"&lt;/ul&gt;",""),"&lt;/strong&gt;",""))</f>
        <v/>
      </c>
      <c r="I168" s="12" cm="1" t="str">
        <f t="array" ref="I168">IF(C168="","",IF(OR(H168="",H168=0,H168=FALSE),"-",H168))</f>
        <v/>
      </c>
      <c r="J168">
</c>
      <c r="K168">
</c>
      <c r="L168" s="6" cm="1" t="str">
        <f t="array" ref="L168">IF(C168="","",IF(K168="Mort / Plus rien à faire","KO","OK"))</f>
        <v/>
      </c>
      <c r="M168" s="17">
</c>
      <c r="N168" s="13" cm="1" t="str">
        <f t="array" ref="N168">IF(OR(C168="",M168="",M168=0),"",M168)</f>
        <v/>
      </c>
      <c r="O168" s="17">
</c>
      <c r="P168" s="13" cm="1" t="str">
        <f t="array" ref="P168">IF(C168="","",IF(OR(O168="",O168=0),"-",O168))</f>
        <v/>
      </c>
      <c r="Q168" s="18">
</c>
      <c r="R168" s="6" cm="1" t="str">
        <f t="array" ref="R168">IF(C168="","",ROUND(Q168/1000000,3)&amp;" M€")</f>
        <v/>
      </c>
      <c r="S168" s="19">
</c>
      <c r="T168" s="6" cm="1" t="str">
        <f t="array" ref="T168">IF(C168="","",SUBSTITUTE(S168,"","")&amp;"%")</f>
        <v/>
      </c>
      <c r="U168" s="12" cm="1" t="str">
        <f t="array" ref="U168">IF(($N168="")*($P168=""),"",IF(($N168&lt;&gt;"")*($N168&gt;TODAY()-9)*($N168&lt;TODAY()+1)*($P168&lt;&gt;"")*($P168&gt;=TODAY())*($P168&lt;=TODAY()+13),"Semaine passée &amp; à venir",IF(($N168&lt;&gt;"")*($N168&gt;TODAY()-9)*($N168&lt;TODAY()+1),"Semaine passée",IF(($P168&lt;&gt;"")*($P168&gt;=TODAY())*($P168&lt;=TODAY()+13),"À venir","Autre"))))</f>
        <v/>
      </c>
      <c r="V168" s="5">
</c>
      <c r="W168" s="5">
</c>
      <c r="X168" s="5">
</c>
      <c r="Y168" s="5">
</c>
      <c r="Z168" s="5">
</c>
      <c r="AA168" s="5">
</c>
      <c r="AB168" s="5">
</c>
      <c r="AC168" s="5">
</c>
      <c r="AD168" s="5">
</c>
      <c r="AE168" s="5">
</c>
      <c r="AF168" s="5">
</c>
      <c r="AG168" s="5">
</c>
      <c r="AH168" s="5">
</c>
      <c r="AI168" s="5">
</c>
      <c r="AJ168" s="5">
</c>
      <c r="AK168" s="5">
</c>
    </row>
    <row r="169" ht="65.25" customHeight="1">
      <c r="A169">
</c>
      <c r="B169">
</c>
      <c r="C169" s="16">
</c>
      <c r="D169" s="16">
</c>
      <c r="E169">
</c>
      <c r="F169">
</c>
      <c r="G169" s="6" cm="1" t="str">
        <f t="array" ref="G169">IF(F169="","",SUBSTITUTE(SUBSTITUTE(SUBSTITUTE(SUBSTITUTE(F169,"&lt;li&gt;",CHAR(10)),"&lt;/li&gt;",""),"&lt;br&gt;",CHAR(10)),"&lt;strong&gt;",""))</f>
        <v/>
      </c>
      <c r="H169" s="6" cm="1" t="str">
        <f t="array" ref="H169">IF(G169="","",SUBSTITUTE(SUBSTITUTE(SUBSTITUTE(SUBSTITUTE(SUBSTITUTE(G169,"&lt;p&gt;",""),"&lt;/p&gt;",""),"&lt;ul&gt;",""),"&lt;/ul&gt;",""),"&lt;/strong&gt;",""))</f>
        <v/>
      </c>
      <c r="I169" s="12" cm="1" t="str">
        <f t="array" ref="I169">IF(C169="","",IF(OR(H169="",H169=0,H169=FALSE),"-",H169))</f>
        <v/>
      </c>
      <c r="J169">
</c>
      <c r="K169">
</c>
      <c r="L169" s="6" cm="1" t="str">
        <f t="array" ref="L169">IF(C169="","",IF(K169="Mort / Plus rien à faire","KO","OK"))</f>
        <v/>
      </c>
      <c r="M169" s="17">
</c>
      <c r="N169" s="13" cm="1" t="str">
        <f t="array" ref="N169">IF(OR(C169="",M169="",M169=0),"",M169)</f>
        <v/>
      </c>
      <c r="O169" s="17">
</c>
      <c r="P169" s="13" cm="1" t="str">
        <f t="array" ref="P169">IF(C169="","",IF(OR(O169="",O169=0),"-",O169))</f>
        <v/>
      </c>
      <c r="Q169" s="18">
</c>
      <c r="R169" s="6" cm="1" t="str">
        <f t="array" ref="R169">IF(C169="","",ROUND(Q169/1000000,3)&amp;" M€")</f>
        <v/>
      </c>
      <c r="S169" s="19">
</c>
      <c r="T169" s="6" cm="1" t="str">
        <f t="array" ref="T169">IF(C169="","",SUBSTITUTE(S169,"","")&amp;"%")</f>
        <v/>
      </c>
      <c r="U169" s="12" cm="1" t="str">
        <f t="array" ref="U169">IF(($N169="")*($P169=""),"",IF(($N169&lt;&gt;"")*($N169&gt;TODAY()-9)*($N169&lt;TODAY()+1)*($P169&lt;&gt;"")*($P169&gt;=TODAY())*($P169&lt;=TODAY()+13),"Semaine passée &amp; à venir",IF(($N169&lt;&gt;"")*($N169&gt;TODAY()-9)*($N169&lt;TODAY()+1),"Semaine passée",IF(($P169&lt;&gt;"")*($P169&gt;=TODAY())*($P169&lt;=TODAY()+13),"À venir","Autre"))))</f>
        <v/>
      </c>
      <c r="V169" s="5">
</c>
      <c r="W169" s="5">
</c>
      <c r="X169" s="5">
</c>
      <c r="Y169" s="5">
</c>
      <c r="Z169" s="5">
</c>
      <c r="AA169" s="5">
</c>
      <c r="AB169" s="5">
</c>
      <c r="AC169" s="5">
</c>
      <c r="AD169" s="5">
</c>
      <c r="AE169" s="5">
</c>
      <c r="AF169" s="5">
</c>
      <c r="AG169" s="5">
</c>
      <c r="AH169" s="5">
</c>
      <c r="AI169" s="5">
</c>
      <c r="AJ169" s="5">
</c>
      <c r="AK169" s="5">
</c>
    </row>
    <row r="170" ht="65.25" customHeight="1">
      <c r="A170">
</c>
      <c r="B170">
</c>
      <c r="C170" s="16">
</c>
      <c r="D170" s="16">
</c>
      <c r="E170">
</c>
      <c r="F170">
</c>
      <c r="G170" s="6" cm="1" t="str">
        <f t="array" ref="G170">IF(F170="","",SUBSTITUTE(SUBSTITUTE(SUBSTITUTE(SUBSTITUTE(F170,"&lt;li&gt;",CHAR(10)),"&lt;/li&gt;",""),"&lt;br&gt;",CHAR(10)),"&lt;strong&gt;",""))</f>
        <v/>
      </c>
      <c r="H170" s="6" cm="1" t="str">
        <f t="array" ref="H170">IF(G170="","",SUBSTITUTE(SUBSTITUTE(SUBSTITUTE(SUBSTITUTE(SUBSTITUTE(G170,"&lt;p&gt;",""),"&lt;/p&gt;",""),"&lt;ul&gt;",""),"&lt;/ul&gt;",""),"&lt;/strong&gt;",""))</f>
        <v/>
      </c>
      <c r="I170" s="12" cm="1" t="str">
        <f t="array" ref="I170">IF(C170="","",IF(OR(H170="",H170=0,H170=FALSE),"-",H170))</f>
        <v/>
      </c>
      <c r="J170">
</c>
      <c r="K170">
</c>
      <c r="L170" s="6" cm="1" t="str">
        <f t="array" ref="L170">IF(C170="","",IF(K170="Mort / Plus rien à faire","KO","OK"))</f>
        <v/>
      </c>
      <c r="M170" s="17">
</c>
      <c r="N170" s="13" cm="1" t="str">
        <f t="array" ref="N170">IF(OR(C170="",M170="",M170=0),"",M170)</f>
        <v/>
      </c>
      <c r="O170" s="17">
</c>
      <c r="P170" s="13" cm="1" t="str">
        <f t="array" ref="P170">IF(C170="","",IF(OR(O170="",O170=0),"-",O170))</f>
        <v/>
      </c>
      <c r="Q170" s="18">
</c>
      <c r="R170" s="6" cm="1" t="str">
        <f t="array" ref="R170">IF(C170="","",ROUND(Q170/1000000,3)&amp;" M€")</f>
        <v/>
      </c>
      <c r="S170" s="19">
</c>
      <c r="T170" s="6" cm="1" t="str">
        <f t="array" ref="T170">IF(C170="","",SUBSTITUTE(S170,"","")&amp;"%")</f>
        <v/>
      </c>
      <c r="U170" s="12" cm="1" t="str">
        <f t="array" ref="U170">IF(($N170="")*($P170=""),"",IF(($N170&lt;&gt;"")*($N170&gt;TODAY()-9)*($N170&lt;TODAY()+1)*($P170&lt;&gt;"")*($P170&gt;=TODAY())*($P170&lt;=TODAY()+13),"Semaine passée &amp; à venir",IF(($N170&lt;&gt;"")*($N170&gt;TODAY()-9)*($N170&lt;TODAY()+1),"Semaine passée",IF(($P170&lt;&gt;"")*($P170&gt;=TODAY())*($P170&lt;=TODAY()+13),"À venir","Autre"))))</f>
        <v/>
      </c>
      <c r="V170" s="5">
</c>
      <c r="W170" s="5">
</c>
      <c r="X170" s="5">
</c>
      <c r="Y170" s="5">
</c>
      <c r="Z170" s="5">
</c>
      <c r="AA170" s="5">
</c>
      <c r="AB170" s="5">
</c>
      <c r="AC170" s="5">
</c>
      <c r="AD170" s="5">
</c>
      <c r="AE170" s="5">
</c>
      <c r="AF170" s="5">
</c>
      <c r="AG170" s="5">
</c>
      <c r="AH170" s="5">
</c>
      <c r="AI170" s="5">
</c>
      <c r="AJ170" s="5">
</c>
      <c r="AK170" s="5">
</c>
    </row>
    <row r="171" ht="65.25" customHeight="1">
      <c r="A171">
</c>
      <c r="B171">
</c>
      <c r="C171" s="16">
</c>
      <c r="D171" s="16">
</c>
      <c r="E171">
</c>
      <c r="F171">
</c>
      <c r="G171" s="6" cm="1" t="str">
        <f t="array" ref="G171">IF(F171="","",SUBSTITUTE(SUBSTITUTE(SUBSTITUTE(SUBSTITUTE(F171,"&lt;li&gt;",CHAR(10)),"&lt;/li&gt;",""),"&lt;br&gt;",CHAR(10)),"&lt;strong&gt;",""))</f>
        <v/>
      </c>
      <c r="H171" s="6" cm="1" t="str">
        <f t="array" ref="H171">IF(G171="","",SUBSTITUTE(SUBSTITUTE(SUBSTITUTE(SUBSTITUTE(SUBSTITUTE(G171,"&lt;p&gt;",""),"&lt;/p&gt;",""),"&lt;ul&gt;",""),"&lt;/ul&gt;",""),"&lt;/strong&gt;",""))</f>
        <v/>
      </c>
      <c r="I171" s="12" cm="1" t="str">
        <f t="array" ref="I171">IF(C171="","",IF(OR(H171="",H171=0,H171=FALSE),"-",H171))</f>
        <v/>
      </c>
      <c r="J171">
</c>
      <c r="K171">
</c>
      <c r="L171" s="6" cm="1" t="str">
        <f t="array" ref="L171">IF(C171="","",IF(K171="Mort / Plus rien à faire","KO","OK"))</f>
        <v/>
      </c>
      <c r="M171" s="17">
</c>
      <c r="N171" s="13" cm="1" t="str">
        <f t="array" ref="N171">IF(OR(C171="",M171="",M171=0),"",M171)</f>
        <v/>
      </c>
      <c r="O171" s="17">
</c>
      <c r="P171" s="13" cm="1" t="str">
        <f t="array" ref="P171">IF(C171="","",IF(OR(O171="",O171=0),"-",O171))</f>
        <v/>
      </c>
      <c r="Q171" s="18">
</c>
      <c r="R171" s="6" cm="1" t="str">
        <f t="array" ref="R171">IF(C171="","",ROUND(Q171/1000000,3)&amp;" M€")</f>
        <v/>
      </c>
      <c r="S171" s="19">
</c>
      <c r="T171" s="6" cm="1" t="str">
        <f t="array" ref="T171">IF(C171="","",SUBSTITUTE(S171,"","")&amp;"%")</f>
        <v/>
      </c>
      <c r="U171" s="12" cm="1" t="str">
        <f t="array" ref="U171">IF(($N171="")*($P171=""),"",IF(($N171&lt;&gt;"")*($N171&gt;TODAY()-9)*($N171&lt;TODAY()+1)*($P171&lt;&gt;"")*($P171&gt;=TODAY())*($P171&lt;=TODAY()+13),"Semaine passée &amp; à venir",IF(($N171&lt;&gt;"")*($N171&gt;TODAY()-9)*($N171&lt;TODAY()+1),"Semaine passée",IF(($P171&lt;&gt;"")*($P171&gt;=TODAY())*($P171&lt;=TODAY()+13),"À venir","Autre"))))</f>
        <v/>
      </c>
      <c r="V171" s="5">
</c>
      <c r="W171" s="5">
</c>
      <c r="X171" s="5">
</c>
      <c r="Y171" s="5">
</c>
      <c r="Z171" s="5">
</c>
      <c r="AA171" s="5">
</c>
      <c r="AB171" s="5">
</c>
      <c r="AC171" s="5">
</c>
      <c r="AD171" s="5">
</c>
      <c r="AE171" s="5">
</c>
      <c r="AF171" s="5">
</c>
      <c r="AG171" s="5">
</c>
      <c r="AH171" s="5">
</c>
      <c r="AI171" s="5">
</c>
      <c r="AJ171" s="5">
</c>
      <c r="AK171" s="5">
</c>
    </row>
    <row r="172" ht="65.25" customHeight="1">
      <c r="A172">
</c>
      <c r="B172">
</c>
      <c r="C172" s="16">
</c>
      <c r="D172" s="16">
</c>
      <c r="E172">
</c>
      <c r="F172">
</c>
      <c r="G172" s="6" cm="1" t="str">
        <f t="array" ref="G172">IF(F172="","",SUBSTITUTE(SUBSTITUTE(SUBSTITUTE(SUBSTITUTE(F172,"&lt;li&gt;",CHAR(10)),"&lt;/li&gt;",""),"&lt;br&gt;",CHAR(10)),"&lt;strong&gt;",""))</f>
        <v/>
      </c>
      <c r="H172" s="6" cm="1" t="str">
        <f t="array" ref="H172">IF(G172="","",SUBSTITUTE(SUBSTITUTE(SUBSTITUTE(SUBSTITUTE(SUBSTITUTE(G172,"&lt;p&gt;",""),"&lt;/p&gt;",""),"&lt;ul&gt;",""),"&lt;/ul&gt;",""),"&lt;/strong&gt;",""))</f>
        <v/>
      </c>
      <c r="I172" s="12" cm="1" t="str">
        <f t="array" ref="I172">IF(C172="","",IF(OR(H172="",H172=0,H172=FALSE),"-",H172))</f>
        <v/>
      </c>
      <c r="J172">
</c>
      <c r="K172">
</c>
      <c r="L172" s="6" cm="1" t="str">
        <f t="array" ref="L172">IF(C172="","",IF(K172="Mort / Plus rien à faire","KO","OK"))</f>
        <v/>
      </c>
      <c r="M172" s="17">
</c>
      <c r="N172" s="13" cm="1" t="str">
        <f t="array" ref="N172">IF(OR(C172="",M172="",M172=0),"",M172)</f>
        <v/>
      </c>
      <c r="O172" s="17">
</c>
      <c r="P172" s="13" cm="1" t="str">
        <f t="array" ref="P172">IF(C172="","",IF(OR(O172="",O172=0),"-",O172))</f>
        <v/>
      </c>
      <c r="Q172" s="18">
</c>
      <c r="R172" s="6" cm="1" t="str">
        <f t="array" ref="R172">IF(C172="","",ROUND(Q172/1000000,3)&amp;" M€")</f>
        <v/>
      </c>
      <c r="S172" s="19">
</c>
      <c r="T172" s="6" cm="1" t="str">
        <f t="array" ref="T172">IF(C172="","",SUBSTITUTE(S172,"","")&amp;"%")</f>
        <v/>
      </c>
      <c r="U172" s="12" cm="1" t="str">
        <f t="array" ref="U172">IF(($N172="")*($P172=""),"",IF(($N172&lt;&gt;"")*($N172&gt;TODAY()-9)*($N172&lt;TODAY()+1)*($P172&lt;&gt;"")*($P172&gt;=TODAY())*($P172&lt;=TODAY()+13),"Semaine passée &amp; à venir",IF(($N172&lt;&gt;"")*($N172&gt;TODAY()-9)*($N172&lt;TODAY()+1),"Semaine passée",IF(($P172&lt;&gt;"")*($P172&gt;=TODAY())*($P172&lt;=TODAY()+13),"À venir","Autre"))))</f>
        <v/>
      </c>
      <c r="V172" s="5">
</c>
      <c r="W172" s="5">
</c>
      <c r="X172" s="5">
</c>
      <c r="Y172" s="5">
</c>
      <c r="Z172" s="5">
</c>
      <c r="AA172" s="5">
</c>
      <c r="AB172" s="5">
</c>
      <c r="AC172" s="5">
</c>
      <c r="AD172" s="5">
</c>
      <c r="AE172" s="5">
</c>
      <c r="AF172" s="5">
</c>
      <c r="AG172" s="5">
</c>
      <c r="AH172" s="5">
</c>
      <c r="AI172" s="5">
</c>
      <c r="AJ172" s="5">
</c>
      <c r="AK172" s="5">
</c>
    </row>
    <row r="173" ht="65.25" customHeight="1">
      <c r="A173">
</c>
      <c r="B173">
</c>
      <c r="C173" s="16">
</c>
      <c r="D173" s="16">
</c>
      <c r="E173">
</c>
      <c r="F173">
</c>
      <c r="G173" s="6" cm="1" t="str">
        <f t="array" ref="G173">IF(F173="","",SUBSTITUTE(SUBSTITUTE(SUBSTITUTE(SUBSTITUTE(F173,"&lt;li&gt;",CHAR(10)),"&lt;/li&gt;",""),"&lt;br&gt;",CHAR(10)),"&lt;strong&gt;",""))</f>
        <v/>
      </c>
      <c r="H173" s="6" cm="1" t="str">
        <f t="array" ref="H173">IF(G173="","",SUBSTITUTE(SUBSTITUTE(SUBSTITUTE(SUBSTITUTE(SUBSTITUTE(G173,"&lt;p&gt;",""),"&lt;/p&gt;",""),"&lt;ul&gt;",""),"&lt;/ul&gt;",""),"&lt;/strong&gt;",""))</f>
        <v/>
      </c>
      <c r="I173" s="12" cm="1" t="str">
        <f t="array" ref="I173">IF(C173="","",IF(OR(H173="",H173=0,H173=FALSE),"-",H173))</f>
        <v/>
      </c>
      <c r="J173">
</c>
      <c r="K173">
</c>
      <c r="L173" s="6" cm="1" t="str">
        <f t="array" ref="L173">IF(C173="","",IF(K173="Mort / Plus rien à faire","KO","OK"))</f>
        <v/>
      </c>
      <c r="M173" s="17">
</c>
      <c r="N173" s="13" cm="1" t="str">
        <f t="array" ref="N173">IF(OR(C173="",M173="",M173=0),"",M173)</f>
        <v/>
      </c>
      <c r="O173" s="17">
</c>
      <c r="P173" s="13" cm="1" t="str">
        <f t="array" ref="P173">IF(C173="","",IF(OR(O173="",O173=0),"-",O173))</f>
        <v/>
      </c>
      <c r="Q173" s="18">
</c>
      <c r="R173" s="6" cm="1" t="str">
        <f t="array" ref="R173">IF(C173="","",ROUND(Q173/1000000,3)&amp;" M€")</f>
        <v/>
      </c>
      <c r="S173" s="19">
</c>
      <c r="T173" s="6" cm="1" t="str">
        <f t="array" ref="T173">IF(C173="","",SUBSTITUTE(S173,"","")&amp;"%")</f>
        <v/>
      </c>
      <c r="U173" s="12" cm="1" t="str">
        <f t="array" ref="U173">IF(($N173="")*($P173=""),"",IF(($N173&lt;&gt;"")*($N173&gt;TODAY()-9)*($N173&lt;TODAY()+1)*($P173&lt;&gt;"")*($P173&gt;=TODAY())*($P173&lt;=TODAY()+13),"Semaine passée &amp; à venir",IF(($N173&lt;&gt;"")*($N173&gt;TODAY()-9)*($N173&lt;TODAY()+1),"Semaine passée",IF(($P173&lt;&gt;"")*($P173&gt;=TODAY())*($P173&lt;=TODAY()+13),"À venir","Autre"))))</f>
        <v/>
      </c>
      <c r="V173" s="5">
</c>
      <c r="W173" s="5">
</c>
      <c r="X173" s="5">
</c>
      <c r="Y173" s="5">
</c>
      <c r="Z173" s="5">
</c>
      <c r="AA173" s="5">
</c>
      <c r="AB173" s="5">
</c>
      <c r="AC173" s="5">
</c>
      <c r="AD173" s="5">
</c>
      <c r="AE173" s="5">
</c>
      <c r="AF173" s="5">
</c>
      <c r="AG173" s="5">
</c>
      <c r="AH173" s="5">
</c>
      <c r="AI173" s="5">
</c>
      <c r="AJ173" s="5">
</c>
      <c r="AK173" s="5">
</c>
    </row>
    <row r="174" ht="65.25" customHeight="1">
      <c r="A174">
</c>
      <c r="B174">
</c>
      <c r="C174" s="16">
</c>
      <c r="D174" s="16">
</c>
      <c r="E174">
</c>
      <c r="F174">
</c>
      <c r="G174" s="6" cm="1" t="str">
        <f t="array" ref="G174">IF(F174="","",SUBSTITUTE(SUBSTITUTE(SUBSTITUTE(SUBSTITUTE(F174,"&lt;li&gt;",CHAR(10)),"&lt;/li&gt;",""),"&lt;br&gt;",CHAR(10)),"&lt;strong&gt;",""))</f>
        <v/>
      </c>
      <c r="H174" s="6" cm="1" t="str">
        <f t="array" ref="H174">IF(G174="","",SUBSTITUTE(SUBSTITUTE(SUBSTITUTE(SUBSTITUTE(SUBSTITUTE(G174,"&lt;p&gt;",""),"&lt;/p&gt;",""),"&lt;ul&gt;",""),"&lt;/ul&gt;",""),"&lt;/strong&gt;",""))</f>
        <v/>
      </c>
      <c r="I174" s="12" cm="1" t="str">
        <f t="array" ref="I174">IF(C174="","",IF(OR(H174="",H174=0,H174=FALSE),"-",H174))</f>
        <v/>
      </c>
      <c r="J174">
</c>
      <c r="K174">
</c>
      <c r="L174" s="6" cm="1" t="str">
        <f t="array" ref="L174">IF(C174="","",IF(K174="Mort / Plus rien à faire","KO","OK"))</f>
        <v/>
      </c>
      <c r="M174" s="17">
</c>
      <c r="N174" s="13" cm="1" t="str">
        <f t="array" ref="N174">IF(OR(C174="",M174="",M174=0),"",M174)</f>
        <v/>
      </c>
      <c r="O174" s="17">
</c>
      <c r="P174" s="13" cm="1" t="str">
        <f t="array" ref="P174">IF(C174="","",IF(OR(O174="",O174=0),"-",O174))</f>
        <v/>
      </c>
      <c r="Q174" s="18">
</c>
      <c r="R174" s="6" cm="1" t="str">
        <f t="array" ref="R174">IF(C174="","",ROUND(Q174/1000000,3)&amp;" M€")</f>
        <v/>
      </c>
      <c r="S174" s="19">
</c>
      <c r="T174" s="6" cm="1" t="str">
        <f t="array" ref="T174">IF(C174="","",SUBSTITUTE(S174,"","")&amp;"%")</f>
        <v/>
      </c>
      <c r="U174" s="12" cm="1" t="str">
        <f t="array" ref="U174">IF(($N174="")*($P174=""),"",IF(($N174&lt;&gt;"")*($N174&gt;TODAY()-9)*($N174&lt;TODAY()+1)*($P174&lt;&gt;"")*($P174&gt;=TODAY())*($P174&lt;=TODAY()+13),"Semaine passée &amp; à venir",IF(($N174&lt;&gt;"")*($N174&gt;TODAY()-9)*($N174&lt;TODAY()+1),"Semaine passée",IF(($P174&lt;&gt;"")*($P174&gt;=TODAY())*($P174&lt;=TODAY()+13),"À venir","Autre"))))</f>
        <v/>
      </c>
      <c r="V174" s="5">
</c>
      <c r="W174" s="5">
</c>
      <c r="X174" s="5">
</c>
      <c r="Y174" s="5">
</c>
      <c r="Z174" s="5">
</c>
      <c r="AA174" s="5">
</c>
      <c r="AB174" s="5">
</c>
      <c r="AC174" s="5">
</c>
      <c r="AD174" s="5">
</c>
      <c r="AE174" s="5">
</c>
      <c r="AF174" s="5">
</c>
      <c r="AG174" s="5">
</c>
      <c r="AH174" s="5">
</c>
      <c r="AI174" s="5">
</c>
      <c r="AJ174" s="5">
</c>
      <c r="AK174" s="5">
</c>
    </row>
    <row r="175" ht="65.25" customHeight="1">
      <c r="A175">
</c>
      <c r="B175">
</c>
      <c r="C175" s="16">
</c>
      <c r="D175" s="16">
</c>
      <c r="E175">
</c>
      <c r="F175">
</c>
      <c r="G175" s="6" cm="1" t="str">
        <f t="array" ref="G175">IF(F175="","",SUBSTITUTE(SUBSTITUTE(SUBSTITUTE(SUBSTITUTE(F175,"&lt;li&gt;",CHAR(10)),"&lt;/li&gt;",""),"&lt;br&gt;",CHAR(10)),"&lt;strong&gt;",""))</f>
        <v/>
      </c>
      <c r="H175" s="6" cm="1" t="str">
        <f t="array" ref="H175">IF(G175="","",SUBSTITUTE(SUBSTITUTE(SUBSTITUTE(SUBSTITUTE(SUBSTITUTE(G175,"&lt;p&gt;",""),"&lt;/p&gt;",""),"&lt;ul&gt;",""),"&lt;/ul&gt;",""),"&lt;/strong&gt;",""))</f>
        <v/>
      </c>
      <c r="I175" s="12" cm="1" t="str">
        <f t="array" ref="I175">IF(C175="","",IF(OR(H175="",H175=0,H175=FALSE),"-",H175))</f>
        <v/>
      </c>
      <c r="J175">
</c>
      <c r="K175">
</c>
      <c r="L175" s="6" cm="1" t="str">
        <f t="array" ref="L175">IF(C175="","",IF(K175="Mort / Plus rien à faire","KO","OK"))</f>
        <v/>
      </c>
      <c r="M175" s="17">
</c>
      <c r="N175" s="13" cm="1" t="str">
        <f t="array" ref="N175">IF(OR(C175="",M175="",M175=0),"",M175)</f>
        <v/>
      </c>
      <c r="O175" s="17">
</c>
      <c r="P175" s="13" cm="1" t="str">
        <f t="array" ref="P175">IF(C175="","",IF(OR(O175="",O175=0),"-",O175))</f>
        <v/>
      </c>
      <c r="Q175" s="18">
</c>
      <c r="R175" s="6" cm="1" t="str">
        <f t="array" ref="R175">IF(C175="","",ROUND(Q175/1000000,3)&amp;" M€")</f>
        <v/>
      </c>
      <c r="S175" s="19">
</c>
      <c r="T175" s="6" cm="1" t="str">
        <f t="array" ref="T175">IF(C175="","",SUBSTITUTE(S175,"","")&amp;"%")</f>
        <v/>
      </c>
      <c r="U175" s="12" cm="1" t="str">
        <f t="array" ref="U175">IF(($N175="")*($P175=""),"",IF(($N175&lt;&gt;"")*($N175&gt;TODAY()-9)*($N175&lt;TODAY()+1)*($P175&lt;&gt;"")*($P175&gt;=TODAY())*($P175&lt;=TODAY()+13),"Semaine passée &amp; à venir",IF(($N175&lt;&gt;"")*($N175&gt;TODAY()-9)*($N175&lt;TODAY()+1),"Semaine passée",IF(($P175&lt;&gt;"")*($P175&gt;=TODAY())*($P175&lt;=TODAY()+13),"À venir","Autre"))))</f>
        <v/>
      </c>
      <c r="V175" s="5">
</c>
      <c r="W175" s="5">
</c>
      <c r="X175" s="5">
</c>
      <c r="Y175" s="5">
</c>
      <c r="Z175" s="5">
</c>
      <c r="AA175" s="5">
</c>
      <c r="AB175" s="5">
</c>
      <c r="AC175" s="5">
</c>
      <c r="AD175" s="5">
</c>
      <c r="AE175" s="5">
</c>
      <c r="AF175" s="5">
</c>
      <c r="AG175" s="5">
</c>
      <c r="AH175" s="5">
</c>
      <c r="AI175" s="5">
</c>
      <c r="AJ175" s="5">
</c>
      <c r="AK175" s="5">
</c>
    </row>
    <row r="176" ht="65.25" customHeight="1">
      <c r="A176">
</c>
      <c r="B176">
</c>
      <c r="C176" s="16">
</c>
      <c r="D176" s="16">
</c>
      <c r="E176">
</c>
      <c r="F176">
</c>
      <c r="G176" s="6" cm="1" t="str">
        <f t="array" ref="G176">IF(F176="","",SUBSTITUTE(SUBSTITUTE(SUBSTITUTE(SUBSTITUTE(F176,"&lt;li&gt;",CHAR(10)),"&lt;/li&gt;",""),"&lt;br&gt;",CHAR(10)),"&lt;strong&gt;",""))</f>
        <v/>
      </c>
      <c r="H176" s="6" cm="1" t="str">
        <f t="array" ref="H176">IF(G176="","",SUBSTITUTE(SUBSTITUTE(SUBSTITUTE(SUBSTITUTE(SUBSTITUTE(G176,"&lt;p&gt;",""),"&lt;/p&gt;",""),"&lt;ul&gt;",""),"&lt;/ul&gt;",""),"&lt;/strong&gt;",""))</f>
        <v/>
      </c>
      <c r="I176" s="12" cm="1" t="str">
        <f t="array" ref="I176">IF(C176="","",IF(OR(H176="",H176=0,H176=FALSE),"-",H176))</f>
        <v/>
      </c>
      <c r="J176">
</c>
      <c r="K176">
</c>
      <c r="L176" s="6" cm="1" t="str">
        <f t="array" ref="L176">IF(C176="","",IF(K176="Mort / Plus rien à faire","KO","OK"))</f>
        <v/>
      </c>
      <c r="M176" s="17">
</c>
      <c r="N176" s="13" cm="1" t="str">
        <f t="array" ref="N176">IF(OR(C176="",M176="",M176=0),"",M176)</f>
        <v/>
      </c>
      <c r="O176" s="17">
</c>
      <c r="P176" s="13" cm="1" t="str">
        <f t="array" ref="P176">IF(C176="","",IF(OR(O176="",O176=0),"-",O176))</f>
        <v/>
      </c>
      <c r="Q176" s="18">
</c>
      <c r="R176" s="6" cm="1" t="str">
        <f t="array" ref="R176">IF(C176="","",ROUND(Q176/1000000,3)&amp;" M€")</f>
        <v/>
      </c>
      <c r="S176" s="19">
</c>
      <c r="T176" s="6" cm="1" t="str">
        <f t="array" ref="T176">IF(C176="","",SUBSTITUTE(S176,"","")&amp;"%")</f>
        <v/>
      </c>
      <c r="U176" s="12" cm="1" t="str">
        <f t="array" ref="U176">IF(($N176="")*($P176=""),"",IF(($N176&lt;&gt;"")*($N176&gt;TODAY()-9)*($N176&lt;TODAY()+1)*($P176&lt;&gt;"")*($P176&gt;=TODAY())*($P176&lt;=TODAY()+13),"Semaine passée &amp; à venir",IF(($N176&lt;&gt;"")*($N176&gt;TODAY()-9)*($N176&lt;TODAY()+1),"Semaine passée",IF(($P176&lt;&gt;"")*($P176&gt;=TODAY())*($P176&lt;=TODAY()+13),"À venir","Autre"))))</f>
        <v/>
      </c>
      <c r="V176" s="5">
</c>
      <c r="W176" s="5">
</c>
      <c r="X176" s="5">
</c>
      <c r="Y176" s="5">
</c>
      <c r="Z176" s="5">
</c>
      <c r="AA176" s="5">
</c>
      <c r="AB176" s="5">
</c>
      <c r="AC176" s="5">
</c>
      <c r="AD176" s="5">
</c>
      <c r="AE176" s="5">
</c>
      <c r="AF176" s="5">
</c>
      <c r="AG176" s="5">
</c>
      <c r="AH176" s="5">
</c>
      <c r="AI176" s="5">
</c>
      <c r="AJ176" s="5">
</c>
      <c r="AK176" s="5">
</c>
    </row>
    <row r="177" ht="65.25" customHeight="1">
      <c r="A177">
</c>
      <c r="B177">
</c>
      <c r="C177" s="16">
</c>
      <c r="D177" s="16">
</c>
      <c r="E177">
</c>
      <c r="F177">
</c>
      <c r="G177" s="6" cm="1" t="str">
        <f t="array" ref="G177">IF(F177="","",SUBSTITUTE(SUBSTITUTE(SUBSTITUTE(SUBSTITUTE(F177,"&lt;li&gt;",CHAR(10)),"&lt;/li&gt;",""),"&lt;br&gt;",CHAR(10)),"&lt;strong&gt;",""))</f>
        <v/>
      </c>
      <c r="H177" s="6" cm="1" t="str">
        <f t="array" ref="H177">IF(G177="","",SUBSTITUTE(SUBSTITUTE(SUBSTITUTE(SUBSTITUTE(SUBSTITUTE(G177,"&lt;p&gt;",""),"&lt;/p&gt;",""),"&lt;ul&gt;",""),"&lt;/ul&gt;",""),"&lt;/strong&gt;",""))</f>
        <v/>
      </c>
      <c r="I177" s="12" cm="1" t="str">
        <f t="array" ref="I177">IF(C177="","",IF(OR(H177="",H177=0,H177=FALSE),"-",H177))</f>
        <v/>
      </c>
      <c r="J177">
</c>
      <c r="K177">
</c>
      <c r="L177" s="6" cm="1" t="str">
        <f t="array" ref="L177">IF(C177="","",IF(K177="Mort / Plus rien à faire","KO","OK"))</f>
        <v/>
      </c>
      <c r="M177" s="17">
</c>
      <c r="N177" s="13" cm="1" t="str">
        <f t="array" ref="N177">IF(OR(C177="",M177="",M177=0),"",M177)</f>
        <v/>
      </c>
      <c r="O177" s="17">
</c>
      <c r="P177" s="13" cm="1" t="str">
        <f t="array" ref="P177">IF(C177="","",IF(OR(O177="",O177=0),"-",O177))</f>
        <v/>
      </c>
      <c r="Q177" s="18">
</c>
      <c r="R177" s="6" cm="1" t="str">
        <f t="array" ref="R177">IF(C177="","",ROUND(Q177/1000000,3)&amp;" M€")</f>
        <v/>
      </c>
      <c r="S177" s="19">
</c>
      <c r="T177" s="6" cm="1" t="str">
        <f t="array" ref="T177">IF(C177="","",SUBSTITUTE(S177,"","")&amp;"%")</f>
        <v/>
      </c>
      <c r="U177" s="12" cm="1" t="str">
        <f t="array" ref="U177">IF(($N177="")*($P177=""),"",IF(($N177&lt;&gt;"")*($N177&gt;TODAY()-9)*($N177&lt;TODAY()+1)*($P177&lt;&gt;"")*($P177&gt;=TODAY())*($P177&lt;=TODAY()+13),"Semaine passée &amp; à venir",IF(($N177&lt;&gt;"")*($N177&gt;TODAY()-9)*($N177&lt;TODAY()+1),"Semaine passée",IF(($P177&lt;&gt;"")*($P177&gt;=TODAY())*($P177&lt;=TODAY()+13),"À venir","Autre"))))</f>
        <v/>
      </c>
      <c r="V177" s="5">
</c>
      <c r="W177" s="5">
</c>
      <c r="X177" s="5">
</c>
      <c r="Y177" s="5">
</c>
      <c r="Z177" s="5">
</c>
      <c r="AA177" s="5">
</c>
      <c r="AB177" s="5">
</c>
      <c r="AC177" s="5">
</c>
      <c r="AD177" s="5">
</c>
      <c r="AE177" s="5">
</c>
      <c r="AF177" s="5">
</c>
      <c r="AG177" s="5">
</c>
      <c r="AH177" s="5">
</c>
      <c r="AI177" s="5">
</c>
      <c r="AJ177" s="5">
</c>
      <c r="AK177" s="5">
</c>
    </row>
    <row r="178" ht="65.25" customHeight="1">
      <c r="A178">
</c>
      <c r="B178">
</c>
      <c r="C178" s="16">
</c>
      <c r="D178" s="16">
</c>
      <c r="E178">
</c>
      <c r="F178">
</c>
      <c r="G178" s="6" cm="1" t="str">
        <f t="array" ref="G178">IF(F178="","",SUBSTITUTE(SUBSTITUTE(SUBSTITUTE(SUBSTITUTE(F178,"&lt;li&gt;",CHAR(10)),"&lt;/li&gt;",""),"&lt;br&gt;",CHAR(10)),"&lt;strong&gt;",""))</f>
        <v/>
      </c>
      <c r="H178" s="6" cm="1" t="str">
        <f t="array" ref="H178">IF(G178="","",SUBSTITUTE(SUBSTITUTE(SUBSTITUTE(SUBSTITUTE(SUBSTITUTE(G178,"&lt;p&gt;",""),"&lt;/p&gt;",""),"&lt;ul&gt;",""),"&lt;/ul&gt;",""),"&lt;/strong&gt;",""))</f>
        <v/>
      </c>
      <c r="I178" s="12" cm="1" t="str">
        <f t="array" ref="I178">IF(C178="","",IF(OR(H178="",H178=0,H178=FALSE),"-",H178))</f>
        <v/>
      </c>
      <c r="J178">
</c>
      <c r="K178">
</c>
      <c r="L178" s="6" cm="1" t="str">
        <f t="array" ref="L178">IF(C178="","",IF(K178="Mort / Plus rien à faire","KO","OK"))</f>
        <v/>
      </c>
      <c r="M178" s="17">
</c>
      <c r="N178" s="13" cm="1" t="str">
        <f t="array" ref="N178">IF(OR(C178="",M178="",M178=0),"",M178)</f>
        <v/>
      </c>
      <c r="O178" s="17">
</c>
      <c r="P178" s="13" cm="1" t="str">
        <f t="array" ref="P178">IF(C178="","",IF(OR(O178="",O178=0),"-",O178))</f>
        <v/>
      </c>
      <c r="Q178" s="18">
</c>
      <c r="R178" s="6" cm="1" t="str">
        <f t="array" ref="R178">IF(C178="","",ROUND(Q178/1000000,3)&amp;" M€")</f>
        <v/>
      </c>
      <c r="S178" s="19">
</c>
      <c r="T178" s="6" cm="1" t="str">
        <f t="array" ref="T178">IF(C178="","",SUBSTITUTE(S178,"","")&amp;"%")</f>
        <v/>
      </c>
      <c r="U178" s="12" cm="1" t="str">
        <f t="array" ref="U178">IF(($N178="")*($P178=""),"",IF(($N178&lt;&gt;"")*($N178&gt;TODAY()-9)*($N178&lt;TODAY()+1)*($P178&lt;&gt;"")*($P178&gt;=TODAY())*($P178&lt;=TODAY()+13),"Semaine passée &amp; à venir",IF(($N178&lt;&gt;"")*($N178&gt;TODAY()-9)*($N178&lt;TODAY()+1),"Semaine passée",IF(($P178&lt;&gt;"")*($P178&gt;=TODAY())*($P178&lt;=TODAY()+13),"À venir","Autre"))))</f>
        <v/>
      </c>
      <c r="V178" s="5">
</c>
      <c r="W178" s="5">
</c>
      <c r="X178" s="5">
</c>
      <c r="Y178" s="5">
</c>
      <c r="Z178" s="5">
</c>
      <c r="AA178" s="5">
</c>
      <c r="AB178" s="5">
</c>
      <c r="AC178" s="5">
</c>
      <c r="AD178" s="5">
</c>
      <c r="AE178" s="5">
</c>
      <c r="AF178" s="5">
</c>
      <c r="AG178" s="5">
</c>
      <c r="AH178" s="5">
</c>
      <c r="AI178" s="5">
</c>
      <c r="AJ178" s="5">
</c>
      <c r="AK178" s="5">
</c>
    </row>
    <row r="179" ht="65.25" customHeight="1">
      <c r="A179">
</c>
      <c r="B179">
</c>
      <c r="C179" s="16">
</c>
      <c r="D179" s="16">
</c>
      <c r="E179">
</c>
      <c r="F179">
</c>
      <c r="G179" s="6" cm="1" t="str">
        <f t="array" ref="G179">IF(F179="","",SUBSTITUTE(SUBSTITUTE(SUBSTITUTE(SUBSTITUTE(F179,"&lt;li&gt;",CHAR(10)),"&lt;/li&gt;",""),"&lt;br&gt;",CHAR(10)),"&lt;strong&gt;",""))</f>
        <v/>
      </c>
      <c r="H179" s="6" cm="1" t="str">
        <f t="array" ref="H179">IF(G179="","",SUBSTITUTE(SUBSTITUTE(SUBSTITUTE(SUBSTITUTE(SUBSTITUTE(G179,"&lt;p&gt;",""),"&lt;/p&gt;",""),"&lt;ul&gt;",""),"&lt;/ul&gt;",""),"&lt;/strong&gt;",""))</f>
        <v/>
      </c>
      <c r="I179" s="12" cm="1" t="str">
        <f t="array" ref="I179">IF(C179="","",IF(OR(H179="",H179=0,H179=FALSE),"-",H179))</f>
        <v/>
      </c>
      <c r="J179">
</c>
      <c r="K179">
</c>
      <c r="L179" s="6" cm="1" t="str">
        <f t="array" ref="L179">IF(C179="","",IF(K179="Mort / Plus rien à faire","KO","OK"))</f>
        <v/>
      </c>
      <c r="M179" s="17">
</c>
      <c r="N179" s="13" cm="1" t="str">
        <f t="array" ref="N179">IF(OR(C179="",M179="",M179=0),"",M179)</f>
        <v/>
      </c>
      <c r="O179" s="17">
</c>
      <c r="P179" s="13" cm="1" t="str">
        <f t="array" ref="P179">IF(C179="","",IF(OR(O179="",O179=0),"-",O179))</f>
        <v/>
      </c>
      <c r="Q179" s="18">
</c>
      <c r="R179" s="6" cm="1" t="str">
        <f t="array" ref="R179">IF(C179="","",ROUND(Q179/1000000,3)&amp;" M€")</f>
        <v/>
      </c>
      <c r="S179" s="19">
</c>
      <c r="T179" s="6" cm="1" t="str">
        <f t="array" ref="T179">IF(C179="","",SUBSTITUTE(S179,"","")&amp;"%")</f>
        <v/>
      </c>
      <c r="U179" s="12" cm="1" t="str">
        <f t="array" ref="U179">IF(($N179="")*($P179=""),"",IF(($N179&lt;&gt;"")*($N179&gt;TODAY()-9)*($N179&lt;TODAY()+1)*($P179&lt;&gt;"")*($P179&gt;=TODAY())*($P179&lt;=TODAY()+13),"Semaine passée &amp; à venir",IF(($N179&lt;&gt;"")*($N179&gt;TODAY()-9)*($N179&lt;TODAY()+1),"Semaine passée",IF(($P179&lt;&gt;"")*($P179&gt;=TODAY())*($P179&lt;=TODAY()+13),"À venir","Autre"))))</f>
        <v/>
      </c>
      <c r="V179" s="5">
</c>
      <c r="W179" s="5">
</c>
      <c r="X179" s="5">
</c>
      <c r="Y179" s="5">
</c>
      <c r="Z179" s="5">
</c>
      <c r="AA179" s="5">
</c>
      <c r="AB179" s="5">
</c>
      <c r="AC179" s="5">
</c>
      <c r="AD179" s="5">
</c>
      <c r="AE179" s="5">
</c>
      <c r="AF179" s="5">
</c>
      <c r="AG179" s="5">
</c>
      <c r="AH179" s="5">
</c>
      <c r="AI179" s="5">
</c>
      <c r="AJ179" s="5">
</c>
      <c r="AK179" s="5">
</c>
    </row>
    <row r="180" ht="65.25" customHeight="1">
      <c r="A180">
</c>
      <c r="B180">
</c>
      <c r="C180" s="16">
</c>
      <c r="D180" s="16">
</c>
      <c r="E180">
</c>
      <c r="F180">
</c>
      <c r="G180" s="6" cm="1" t="str">
        <f t="array" ref="G180">IF(F180="","",SUBSTITUTE(SUBSTITUTE(SUBSTITUTE(SUBSTITUTE(F180,"&lt;li&gt;",CHAR(10)),"&lt;/li&gt;",""),"&lt;br&gt;",CHAR(10)),"&lt;strong&gt;",""))</f>
        <v/>
      </c>
      <c r="H180" s="6" cm="1" t="str">
        <f t="array" ref="H180">IF(G180="","",SUBSTITUTE(SUBSTITUTE(SUBSTITUTE(SUBSTITUTE(SUBSTITUTE(G180,"&lt;p&gt;",""),"&lt;/p&gt;",""),"&lt;ul&gt;",""),"&lt;/ul&gt;",""),"&lt;/strong&gt;",""))</f>
        <v/>
      </c>
      <c r="I180" s="12" cm="1" t="str">
        <f t="array" ref="I180">IF(C180="","",IF(OR(H180="",H180=0,H180=FALSE),"-",H180))</f>
        <v/>
      </c>
      <c r="J180">
</c>
      <c r="K180">
</c>
      <c r="L180" s="6" cm="1" t="str">
        <f t="array" ref="L180">IF(C180="","",IF(K180="Mort / Plus rien à faire","KO","OK"))</f>
        <v/>
      </c>
      <c r="M180" s="17">
</c>
      <c r="N180" s="13" cm="1" t="str">
        <f t="array" ref="N180">IF(OR(C180="",M180="",M180=0),"",M180)</f>
        <v/>
      </c>
      <c r="O180" s="17">
</c>
      <c r="P180" s="13" cm="1" t="str">
        <f t="array" ref="P180">IF(C180="","",IF(OR(O180="",O180=0),"-",O180))</f>
        <v/>
      </c>
      <c r="Q180" s="18">
</c>
      <c r="R180" s="6" cm="1" t="str">
        <f t="array" ref="R180">IF(C180="","",ROUND(Q180/1000000,3)&amp;" M€")</f>
        <v/>
      </c>
      <c r="S180" s="19">
</c>
      <c r="T180" s="6" cm="1" t="str">
        <f t="array" ref="T180">IF(C180="","",SUBSTITUTE(S180,"","")&amp;"%")</f>
        <v/>
      </c>
      <c r="U180" s="12" cm="1" t="str">
        <f t="array" ref="U180">IF(($N180="")*($P180=""),"",IF(($N180&lt;&gt;"")*($N180&gt;TODAY()-9)*($N180&lt;TODAY()+1)*($P180&lt;&gt;"")*($P180&gt;=TODAY())*($P180&lt;=TODAY()+13),"Semaine passée &amp; à venir",IF(($N180&lt;&gt;"")*($N180&gt;TODAY()-9)*($N180&lt;TODAY()+1),"Semaine passée",IF(($P180&lt;&gt;"")*($P180&gt;=TODAY())*($P180&lt;=TODAY()+13),"À venir","Autre"))))</f>
        <v/>
      </c>
      <c r="V180" s="5">
</c>
      <c r="W180" s="5">
</c>
      <c r="X180" s="5">
</c>
      <c r="Y180" s="5">
</c>
      <c r="Z180" s="5">
</c>
      <c r="AA180" s="5">
</c>
      <c r="AB180" s="5">
</c>
      <c r="AC180" s="5">
</c>
      <c r="AD180" s="5">
</c>
      <c r="AE180" s="5">
</c>
      <c r="AF180" s="5">
</c>
      <c r="AG180" s="5">
</c>
      <c r="AH180" s="5">
</c>
      <c r="AI180" s="5">
</c>
      <c r="AJ180" s="5">
</c>
      <c r="AK180" s="5">
</c>
    </row>
    <row r="181" ht="65.25" customHeight="1">
      <c r="A181">
</c>
      <c r="B181">
</c>
      <c r="C181" s="16">
</c>
      <c r="D181" s="16">
</c>
      <c r="E181">
</c>
      <c r="F181">
</c>
      <c r="G181" s="6" cm="1" t="str">
        <f t="array" ref="G181">IF(F181="","",SUBSTITUTE(SUBSTITUTE(SUBSTITUTE(SUBSTITUTE(F181,"&lt;li&gt;",CHAR(10)),"&lt;/li&gt;",""),"&lt;br&gt;",CHAR(10)),"&lt;strong&gt;",""))</f>
        <v/>
      </c>
      <c r="H181" s="6" cm="1" t="str">
        <f t="array" ref="H181">IF(G181="","",SUBSTITUTE(SUBSTITUTE(SUBSTITUTE(SUBSTITUTE(SUBSTITUTE(G181,"&lt;p&gt;",""),"&lt;/p&gt;",""),"&lt;ul&gt;",""),"&lt;/ul&gt;",""),"&lt;/strong&gt;",""))</f>
        <v/>
      </c>
      <c r="I181" s="12" cm="1" t="str">
        <f t="array" ref="I181">IF(C181="","",IF(OR(H181="",H181=0,H181=FALSE),"-",H181))</f>
        <v/>
      </c>
      <c r="J181">
</c>
      <c r="K181">
</c>
      <c r="L181" s="6" cm="1" t="str">
        <f t="array" ref="L181">IF(C181="","",IF(K181="Mort / Plus rien à faire","KO","OK"))</f>
        <v/>
      </c>
      <c r="M181" s="17">
</c>
      <c r="N181" s="13" cm="1" t="str">
        <f t="array" ref="N181">IF(OR(C181="",M181="",M181=0),"",M181)</f>
        <v/>
      </c>
      <c r="O181" s="17">
</c>
      <c r="P181" s="13" cm="1" t="str">
        <f t="array" ref="P181">IF(C181="","",IF(OR(O181="",O181=0),"-",O181))</f>
        <v/>
      </c>
      <c r="Q181" s="18">
</c>
      <c r="R181" s="6" cm="1" t="str">
        <f t="array" ref="R181">IF(C181="","",ROUND(Q181/1000000,3)&amp;" M€")</f>
        <v/>
      </c>
      <c r="S181" s="19">
</c>
      <c r="T181" s="6" cm="1" t="str">
        <f t="array" ref="T181">IF(C181="","",SUBSTITUTE(S181,"","")&amp;"%")</f>
        <v/>
      </c>
      <c r="U181" s="12" cm="1" t="str">
        <f t="array" ref="U181">IF(($N181="")*($P181=""),"",IF(($N181&lt;&gt;"")*($N181&gt;TODAY()-9)*($N181&lt;TODAY()+1)*($P181&lt;&gt;"")*($P181&gt;=TODAY())*($P181&lt;=TODAY()+13),"Semaine passée &amp; à venir",IF(($N181&lt;&gt;"")*($N181&gt;TODAY()-9)*($N181&lt;TODAY()+1),"Semaine passée",IF(($P181&lt;&gt;"")*($P181&gt;=TODAY())*($P181&lt;=TODAY()+13),"À venir","Autre"))))</f>
        <v/>
      </c>
      <c r="V181" s="5">
</c>
      <c r="W181" s="5">
</c>
      <c r="X181" s="5">
</c>
      <c r="Y181" s="5">
</c>
      <c r="Z181" s="5">
</c>
      <c r="AA181" s="5">
</c>
      <c r="AB181" s="5">
</c>
      <c r="AC181" s="5">
</c>
      <c r="AD181" s="5">
</c>
      <c r="AE181" s="5">
</c>
      <c r="AF181" s="5">
</c>
      <c r="AG181" s="5">
</c>
      <c r="AH181" s="5">
</c>
      <c r="AI181" s="5">
</c>
      <c r="AJ181" s="5">
</c>
      <c r="AK181" s="5">
</c>
    </row>
    <row r="182" ht="65.25" customHeight="1">
      <c r="A182">
</c>
      <c r="B182">
</c>
      <c r="C182" s="16">
</c>
      <c r="D182" s="16">
</c>
      <c r="E182">
</c>
      <c r="F182">
</c>
      <c r="G182" s="6" cm="1" t="str">
        <f t="array" ref="G182">IF(F182="","",SUBSTITUTE(SUBSTITUTE(SUBSTITUTE(SUBSTITUTE(F182,"&lt;li&gt;",CHAR(10)),"&lt;/li&gt;",""),"&lt;br&gt;",CHAR(10)),"&lt;strong&gt;",""))</f>
        <v/>
      </c>
      <c r="H182" s="6" cm="1" t="str">
        <f t="array" ref="H182">IF(G182="","",SUBSTITUTE(SUBSTITUTE(SUBSTITUTE(SUBSTITUTE(SUBSTITUTE(G182,"&lt;p&gt;",""),"&lt;/p&gt;",""),"&lt;ul&gt;",""),"&lt;/ul&gt;",""),"&lt;/strong&gt;",""))</f>
        <v/>
      </c>
      <c r="I182" s="12" cm="1" t="str">
        <f t="array" ref="I182">IF(C182="","",IF(OR(H182="",H182=0,H182=FALSE),"-",H182))</f>
        <v/>
      </c>
      <c r="J182">
</c>
      <c r="K182">
</c>
      <c r="L182" s="6" cm="1" t="str">
        <f t="array" ref="L182">IF(C182="","",IF(K182="Mort / Plus rien à faire","KO","OK"))</f>
        <v/>
      </c>
      <c r="M182" s="17">
</c>
      <c r="N182" s="13" cm="1" t="str">
        <f t="array" ref="N182">IF(OR(C182="",M182="",M182=0),"",M182)</f>
        <v/>
      </c>
      <c r="O182" s="17">
</c>
      <c r="P182" s="13" cm="1" t="str">
        <f t="array" ref="P182">IF(C182="","",IF(OR(O182="",O182=0),"-",O182))</f>
        <v/>
      </c>
      <c r="Q182" s="18">
</c>
      <c r="R182" s="6" cm="1" t="str">
        <f t="array" ref="R182">IF(C182="","",ROUND(Q182/1000000,3)&amp;" M€")</f>
        <v/>
      </c>
      <c r="S182" s="19">
</c>
      <c r="T182" s="6" cm="1" t="str">
        <f t="array" ref="T182">IF(C182="","",SUBSTITUTE(S182,"","")&amp;"%")</f>
        <v/>
      </c>
      <c r="U182" s="12" cm="1" t="str">
        <f t="array" ref="U182">IF(($N182="")*($P182=""),"",IF(($N182&lt;&gt;"")*($N182&gt;TODAY()-9)*($N182&lt;TODAY()+1)*($P182&lt;&gt;"")*($P182&gt;=TODAY())*($P182&lt;=TODAY()+13),"Semaine passée &amp; à venir",IF(($N182&lt;&gt;"")*($N182&gt;TODAY()-9)*($N182&lt;TODAY()+1),"Semaine passée",IF(($P182&lt;&gt;"")*($P182&gt;=TODAY())*($P182&lt;=TODAY()+13),"À venir","Autre"))))</f>
        <v/>
      </c>
      <c r="V182" s="5">
</c>
      <c r="W182" s="5">
</c>
      <c r="X182" s="5">
</c>
      <c r="Y182" s="5">
</c>
      <c r="Z182" s="5">
</c>
      <c r="AA182" s="5">
</c>
      <c r="AB182" s="5">
</c>
      <c r="AC182" s="5">
</c>
      <c r="AD182" s="5">
</c>
      <c r="AE182" s="5">
</c>
      <c r="AF182" s="5">
</c>
      <c r="AG182" s="5">
</c>
      <c r="AH182" s="5">
</c>
      <c r="AI182" s="5">
</c>
      <c r="AJ182" s="5">
</c>
      <c r="AK182" s="5">
</c>
    </row>
    <row r="183" ht="65.25" customHeight="1">
      <c r="A183">
</c>
      <c r="B183">
</c>
      <c r="C183" s="16">
</c>
      <c r="D183" s="16">
</c>
      <c r="E183">
</c>
      <c r="F183">
</c>
      <c r="G183" s="6" cm="1" t="str">
        <f t="array" ref="G183">IF(F183="","",SUBSTITUTE(SUBSTITUTE(SUBSTITUTE(SUBSTITUTE(F183,"&lt;li&gt;",CHAR(10)),"&lt;/li&gt;",""),"&lt;br&gt;",CHAR(10)),"&lt;strong&gt;",""))</f>
        <v/>
      </c>
      <c r="H183" s="6" cm="1" t="str">
        <f t="array" ref="H183">IF(G183="","",SUBSTITUTE(SUBSTITUTE(SUBSTITUTE(SUBSTITUTE(SUBSTITUTE(G183,"&lt;p&gt;",""),"&lt;/p&gt;",""),"&lt;ul&gt;",""),"&lt;/ul&gt;",""),"&lt;/strong&gt;",""))</f>
        <v/>
      </c>
      <c r="I183" s="12" cm="1" t="str">
        <f t="array" ref="I183">IF(C183="","",IF(OR(H183="",H183=0,H183=FALSE),"-",H183))</f>
        <v/>
      </c>
      <c r="J183">
</c>
      <c r="K183">
</c>
      <c r="L183" s="6" cm="1" t="str">
        <f t="array" ref="L183">IF(C183="","",IF(K183="Mort / Plus rien à faire","KO","OK"))</f>
        <v/>
      </c>
      <c r="M183" s="17">
</c>
      <c r="N183" s="13" cm="1" t="str">
        <f t="array" ref="N183">IF(OR(C183="",M183="",M183=0),"",M183)</f>
        <v/>
      </c>
      <c r="O183" s="17">
</c>
      <c r="P183" s="13" cm="1" t="str">
        <f t="array" ref="P183">IF(C183="","",IF(OR(O183="",O183=0),"-",O183))</f>
        <v/>
      </c>
      <c r="Q183" s="18">
</c>
      <c r="R183" s="6" cm="1" t="str">
        <f t="array" ref="R183">IF(C183="","",ROUND(Q183/1000000,3)&amp;" M€")</f>
        <v/>
      </c>
      <c r="S183" s="19">
</c>
      <c r="T183" s="6" cm="1" t="str">
        <f t="array" ref="T183">IF(C183="","",SUBSTITUTE(S183,"","")&amp;"%")</f>
        <v/>
      </c>
      <c r="U183" s="12" cm="1" t="str">
        <f t="array" ref="U183">IF(($N183="")*($P183=""),"",IF(($N183&lt;&gt;"")*($N183&gt;TODAY()-9)*($N183&lt;TODAY()+1)*($P183&lt;&gt;"")*($P183&gt;=TODAY())*($P183&lt;=TODAY()+13),"Semaine passée &amp; à venir",IF(($N183&lt;&gt;"")*($N183&gt;TODAY()-9)*($N183&lt;TODAY()+1),"Semaine passée",IF(($P183&lt;&gt;"")*($P183&gt;=TODAY())*($P183&lt;=TODAY()+13),"À venir","Autre"))))</f>
        <v/>
      </c>
      <c r="V183" s="5">
</c>
      <c r="W183" s="5">
</c>
      <c r="X183" s="5">
</c>
      <c r="Y183" s="5">
</c>
      <c r="Z183" s="5">
</c>
      <c r="AA183" s="5">
</c>
      <c r="AB183" s="5">
</c>
      <c r="AC183" s="5">
</c>
      <c r="AD183" s="5">
</c>
      <c r="AE183" s="5">
</c>
      <c r="AF183" s="5">
</c>
      <c r="AG183" s="5">
</c>
      <c r="AH183" s="5">
</c>
      <c r="AI183" s="5">
</c>
      <c r="AJ183" s="5">
</c>
      <c r="AK183" s="5">
</c>
    </row>
    <row r="184" ht="65.25" customHeight="1">
      <c r="A184">
</c>
      <c r="B184">
</c>
      <c r="C184" s="16">
</c>
      <c r="D184" s="16">
</c>
      <c r="E184">
</c>
      <c r="F184">
</c>
      <c r="G184" s="6" cm="1" t="str">
        <f t="array" ref="G184">IF(F184="","",SUBSTITUTE(SUBSTITUTE(SUBSTITUTE(SUBSTITUTE(F184,"&lt;li&gt;",CHAR(10)),"&lt;/li&gt;",""),"&lt;br&gt;",CHAR(10)),"&lt;strong&gt;",""))</f>
        <v/>
      </c>
      <c r="H184" s="6" cm="1" t="str">
        <f t="array" ref="H184">IF(G184="","",SUBSTITUTE(SUBSTITUTE(SUBSTITUTE(SUBSTITUTE(SUBSTITUTE(G184,"&lt;p&gt;",""),"&lt;/p&gt;",""),"&lt;ul&gt;",""),"&lt;/ul&gt;",""),"&lt;/strong&gt;",""))</f>
        <v/>
      </c>
      <c r="I184" s="12" cm="1" t="str">
        <f t="array" ref="I184">IF(C184="","",IF(OR(H184="",H184=0,H184=FALSE),"-",H184))</f>
        <v/>
      </c>
      <c r="J184">
</c>
      <c r="K184">
</c>
      <c r="L184" s="6" cm="1" t="str">
        <f t="array" ref="L184">IF(C184="","",IF(K184="Mort / Plus rien à faire","KO","OK"))</f>
        <v/>
      </c>
      <c r="M184" s="17">
</c>
      <c r="N184" s="13" cm="1" t="str">
        <f t="array" ref="N184">IF(OR(C184="",M184="",M184=0),"",M184)</f>
        <v/>
      </c>
      <c r="O184" s="17">
</c>
      <c r="P184" s="13" cm="1" t="str">
        <f t="array" ref="P184">IF(C184="","",IF(OR(O184="",O184=0),"-",O184))</f>
        <v/>
      </c>
      <c r="Q184" s="18">
</c>
      <c r="R184" s="6" cm="1" t="str">
        <f t="array" ref="R184">IF(C184="","",ROUND(Q184/1000000,3)&amp;" M€")</f>
        <v/>
      </c>
      <c r="S184" s="19">
</c>
      <c r="T184" s="6" cm="1" t="str">
        <f t="array" ref="T184">IF(C184="","",SUBSTITUTE(S184,"","")&amp;"%")</f>
        <v/>
      </c>
      <c r="U184" s="12" cm="1" t="str">
        <f t="array" ref="U184">IF(($N184="")*($P184=""),"",IF(($N184&lt;&gt;"")*($N184&gt;TODAY()-9)*($N184&lt;TODAY()+1)*($P184&lt;&gt;"")*($P184&gt;=TODAY())*($P184&lt;=TODAY()+13),"Semaine passée &amp; à venir",IF(($N184&lt;&gt;"")*($N184&gt;TODAY()-9)*($N184&lt;TODAY()+1),"Semaine passée",IF(($P184&lt;&gt;"")*($P184&gt;=TODAY())*($P184&lt;=TODAY()+13),"À venir","Autre"))))</f>
        <v/>
      </c>
      <c r="V184" s="5">
</c>
      <c r="W184" s="5">
</c>
      <c r="X184" s="5">
</c>
      <c r="Y184" s="5">
</c>
      <c r="Z184" s="5">
</c>
      <c r="AA184" s="5">
</c>
      <c r="AB184" s="5">
</c>
      <c r="AC184" s="5">
</c>
      <c r="AD184" s="5">
</c>
      <c r="AE184" s="5">
</c>
      <c r="AF184" s="5">
</c>
      <c r="AG184" s="5">
</c>
      <c r="AH184" s="5">
</c>
      <c r="AI184" s="5">
</c>
      <c r="AJ184" s="5">
</c>
      <c r="AK184" s="5">
</c>
    </row>
    <row r="185" ht="65.25" customHeight="1">
      <c r="A185">
</c>
      <c r="B185">
</c>
      <c r="C185" s="16">
</c>
      <c r="D185" s="16">
</c>
      <c r="E185">
</c>
      <c r="F185">
</c>
      <c r="G185" s="6" cm="1" t="str">
        <f t="array" ref="G185">IF(F185="","",SUBSTITUTE(SUBSTITUTE(SUBSTITUTE(SUBSTITUTE(F185,"&lt;li&gt;",CHAR(10)),"&lt;/li&gt;",""),"&lt;br&gt;",CHAR(10)),"&lt;strong&gt;",""))</f>
        <v/>
      </c>
      <c r="H185" s="6" cm="1" t="str">
        <f t="array" ref="H185">IF(G185="","",SUBSTITUTE(SUBSTITUTE(SUBSTITUTE(SUBSTITUTE(SUBSTITUTE(G185,"&lt;p&gt;",""),"&lt;/p&gt;",""),"&lt;ul&gt;",""),"&lt;/ul&gt;",""),"&lt;/strong&gt;",""))</f>
        <v/>
      </c>
      <c r="I185" s="12" cm="1" t="str">
        <f t="array" ref="I185">IF(C185="","",IF(OR(H185="",H185=0,H185=FALSE),"-",H185))</f>
        <v/>
      </c>
      <c r="J185">
</c>
      <c r="K185">
</c>
      <c r="L185" s="6" cm="1" t="str">
        <f t="array" ref="L185">IF(C185="","",IF(K185="Mort / Plus rien à faire","KO","OK"))</f>
        <v/>
      </c>
      <c r="M185" s="17">
</c>
      <c r="N185" s="13" cm="1" t="str">
        <f t="array" ref="N185">IF(OR(C185="",M185="",M185=0),"",M185)</f>
        <v/>
      </c>
      <c r="O185" s="17">
</c>
      <c r="P185" s="13" cm="1" t="str">
        <f t="array" ref="P185">IF(C185="","",IF(OR(O185="",O185=0),"-",O185))</f>
        <v/>
      </c>
      <c r="Q185" s="18">
</c>
      <c r="R185" s="6" cm="1" t="str">
        <f t="array" ref="R185">IF(C185="","",ROUND(Q185/1000000,3)&amp;" M€")</f>
        <v/>
      </c>
      <c r="S185" s="19">
</c>
      <c r="T185" s="6" cm="1" t="str">
        <f t="array" ref="T185">IF(C185="","",SUBSTITUTE(S185,"","")&amp;"%")</f>
        <v/>
      </c>
      <c r="U185" s="12" cm="1" t="str">
        <f t="array" ref="U185">IF(($N185="")*($P185=""),"",IF(($N185&lt;&gt;"")*($N185&gt;TODAY()-9)*($N185&lt;TODAY()+1)*($P185&lt;&gt;"")*($P185&gt;=TODAY())*($P185&lt;=TODAY()+13),"Semaine passée &amp; à venir",IF(($N185&lt;&gt;"")*($N185&gt;TODAY()-9)*($N185&lt;TODAY()+1),"Semaine passée",IF(($P185&lt;&gt;"")*($P185&gt;=TODAY())*($P185&lt;=TODAY()+13),"À venir","Autre"))))</f>
        <v/>
      </c>
      <c r="V185" s="5">
</c>
      <c r="W185" s="5">
</c>
      <c r="X185" s="5">
</c>
      <c r="Y185" s="5">
</c>
      <c r="Z185" s="5">
</c>
      <c r="AA185" s="5">
</c>
      <c r="AB185" s="5">
</c>
      <c r="AC185" s="5">
</c>
      <c r="AD185" s="5">
</c>
      <c r="AE185" s="5">
</c>
      <c r="AF185" s="5">
</c>
      <c r="AG185" s="5">
</c>
      <c r="AH185" s="5">
</c>
      <c r="AI185" s="5">
</c>
      <c r="AJ185" s="5">
</c>
      <c r="AK185" s="5">
</c>
    </row>
    <row r="186" ht="65.25" customHeight="1">
      <c r="A186">
</c>
      <c r="B186">
</c>
      <c r="C186" s="16">
</c>
      <c r="D186" s="16">
</c>
      <c r="E186">
</c>
      <c r="F186">
</c>
      <c r="G186" s="6" cm="1" t="str">
        <f t="array" ref="G186">IF(F186="","",SUBSTITUTE(SUBSTITUTE(SUBSTITUTE(SUBSTITUTE(F186,"&lt;li&gt;",CHAR(10)),"&lt;/li&gt;",""),"&lt;br&gt;",CHAR(10)),"&lt;strong&gt;",""))</f>
        <v/>
      </c>
      <c r="H186" s="6" cm="1" t="str">
        <f t="array" ref="H186">IF(G186="","",SUBSTITUTE(SUBSTITUTE(SUBSTITUTE(SUBSTITUTE(SUBSTITUTE(G186,"&lt;p&gt;",""),"&lt;/p&gt;",""),"&lt;ul&gt;",""),"&lt;/ul&gt;",""),"&lt;/strong&gt;",""))</f>
        <v/>
      </c>
      <c r="I186" s="12" cm="1" t="str">
        <f t="array" ref="I186">IF(C186="","",IF(OR(H186="",H186=0,H186=FALSE),"-",H186))</f>
        <v/>
      </c>
      <c r="J186">
</c>
      <c r="K186">
</c>
      <c r="L186" s="6" cm="1" t="str">
        <f t="array" ref="L186">IF(C186="","",IF(K186="Mort / Plus rien à faire","KO","OK"))</f>
        <v/>
      </c>
      <c r="M186" s="17">
</c>
      <c r="N186" s="13" cm="1" t="str">
        <f t="array" ref="N186">IF(OR(C186="",M186="",M186=0),"",M186)</f>
        <v/>
      </c>
      <c r="O186" s="17">
</c>
      <c r="P186" s="13" cm="1" t="str">
        <f t="array" ref="P186">IF(C186="","",IF(OR(O186="",O186=0),"-",O186))</f>
        <v/>
      </c>
      <c r="Q186" s="18">
</c>
      <c r="R186" s="6" cm="1" t="str">
        <f t="array" ref="R186">IF(C186="","",ROUND(Q186/1000000,3)&amp;" M€")</f>
        <v/>
      </c>
      <c r="S186" s="19">
</c>
      <c r="T186" s="6" cm="1" t="str">
        <f t="array" ref="T186">IF(C186="","",SUBSTITUTE(S186,"","")&amp;"%")</f>
        <v/>
      </c>
      <c r="U186" s="12" cm="1" t="str">
        <f t="array" ref="U186">IF(($N186="")*($P186=""),"",IF(($N186&lt;&gt;"")*($N186&gt;TODAY()-9)*($N186&lt;TODAY()+1)*($P186&lt;&gt;"")*($P186&gt;=TODAY())*($P186&lt;=TODAY()+13),"Semaine passée &amp; à venir",IF(($N186&lt;&gt;"")*($N186&gt;TODAY()-9)*($N186&lt;TODAY()+1),"Semaine passée",IF(($P186&lt;&gt;"")*($P186&gt;=TODAY())*($P186&lt;=TODAY()+13),"À venir","Autre"))))</f>
        <v/>
      </c>
      <c r="V186" s="5">
</c>
      <c r="W186" s="5">
</c>
      <c r="X186" s="5">
</c>
      <c r="Y186" s="5">
</c>
      <c r="Z186" s="5">
</c>
      <c r="AA186" s="5">
</c>
      <c r="AB186" s="5">
</c>
      <c r="AC186" s="5">
</c>
      <c r="AD186" s="5">
</c>
      <c r="AE186" s="5">
</c>
      <c r="AF186" s="5">
</c>
      <c r="AG186" s="5">
</c>
      <c r="AH186" s="5">
</c>
      <c r="AI186" s="5">
</c>
      <c r="AJ186" s="5">
</c>
      <c r="AK186" s="5">
</c>
    </row>
    <row r="187" ht="65.25" customHeight="1">
      <c r="A187">
</c>
      <c r="B187">
</c>
      <c r="C187" s="16">
</c>
      <c r="D187" s="16">
</c>
      <c r="E187">
</c>
      <c r="F187">
</c>
      <c r="G187" s="6" cm="1" t="str">
        <f t="array" ref="G187">IF(F187="","",SUBSTITUTE(SUBSTITUTE(SUBSTITUTE(SUBSTITUTE(F187,"&lt;li&gt;",CHAR(10)),"&lt;/li&gt;",""),"&lt;br&gt;",CHAR(10)),"&lt;strong&gt;",""))</f>
        <v/>
      </c>
      <c r="H187" s="6" cm="1" t="str">
        <f t="array" ref="H187">IF(G187="","",SUBSTITUTE(SUBSTITUTE(SUBSTITUTE(SUBSTITUTE(SUBSTITUTE(G187,"&lt;p&gt;",""),"&lt;/p&gt;",""),"&lt;ul&gt;",""),"&lt;/ul&gt;",""),"&lt;/strong&gt;",""))</f>
        <v/>
      </c>
      <c r="I187" s="12" cm="1" t="str">
        <f t="array" ref="I187">IF(C187="","",IF(OR(H187="",H187=0,H187=FALSE),"-",H187))</f>
        <v/>
      </c>
      <c r="J187">
</c>
      <c r="K187">
</c>
      <c r="L187" s="6" cm="1" t="str">
        <f t="array" ref="L187">IF(C187="","",IF(K187="Mort / Plus rien à faire","KO","OK"))</f>
        <v/>
      </c>
      <c r="M187" s="17">
</c>
      <c r="N187" s="13" cm="1" t="str">
        <f t="array" ref="N187">IF(OR(C187="",M187="",M187=0),"",M187)</f>
        <v/>
      </c>
      <c r="O187" s="17">
</c>
      <c r="P187" s="13" cm="1" t="str">
        <f t="array" ref="P187">IF(C187="","",IF(OR(O187="",O187=0),"-",O187))</f>
        <v/>
      </c>
      <c r="Q187" s="18">
</c>
      <c r="R187" s="6" cm="1" t="str">
        <f t="array" ref="R187">IF(C187="","",ROUND(Q187/1000000,3)&amp;" M€")</f>
        <v/>
      </c>
      <c r="S187" s="19">
</c>
      <c r="T187" s="6" cm="1" t="str">
        <f t="array" ref="T187">IF(C187="","",SUBSTITUTE(S187,"","")&amp;"%")</f>
        <v/>
      </c>
      <c r="U187" s="12" cm="1" t="str">
        <f t="array" ref="U187">IF(($N187="")*($P187=""),"",IF(($N187&lt;&gt;"")*($N187&gt;TODAY()-9)*($N187&lt;TODAY()+1)*($P187&lt;&gt;"")*($P187&gt;=TODAY())*($P187&lt;=TODAY()+13),"Semaine passée &amp; à venir",IF(($N187&lt;&gt;"")*($N187&gt;TODAY()-9)*($N187&lt;TODAY()+1),"Semaine passée",IF(($P187&lt;&gt;"")*($P187&gt;=TODAY())*($P187&lt;=TODAY()+13),"À venir","Autre"))))</f>
        <v/>
      </c>
      <c r="V187" s="5">
</c>
      <c r="W187" s="5">
</c>
      <c r="X187" s="5">
</c>
      <c r="Y187" s="5">
</c>
      <c r="Z187" s="5">
</c>
      <c r="AA187" s="5">
</c>
      <c r="AB187" s="5">
</c>
      <c r="AC187" s="5">
</c>
      <c r="AD187" s="5">
</c>
      <c r="AE187" s="5">
</c>
      <c r="AF187" s="5">
</c>
      <c r="AG187" s="5">
</c>
      <c r="AH187" s="5">
</c>
      <c r="AI187" s="5">
</c>
      <c r="AJ187" s="5">
</c>
      <c r="AK187" s="5">
</c>
    </row>
    <row r="188" ht="65.25" customHeight="1">
      <c r="A188">
</c>
      <c r="B188">
</c>
      <c r="C188" s="16">
</c>
      <c r="D188" s="16">
</c>
      <c r="E188">
</c>
      <c r="F188">
</c>
      <c r="G188" s="6" cm="1" t="str">
        <f t="array" ref="G188">IF(F188="","",SUBSTITUTE(SUBSTITUTE(SUBSTITUTE(SUBSTITUTE(F188,"&lt;li&gt;",CHAR(10)),"&lt;/li&gt;",""),"&lt;br&gt;",CHAR(10)),"&lt;strong&gt;",""))</f>
        <v/>
      </c>
      <c r="H188" s="6" cm="1" t="str">
        <f t="array" ref="H188">IF(G188="","",SUBSTITUTE(SUBSTITUTE(SUBSTITUTE(SUBSTITUTE(SUBSTITUTE(G188,"&lt;p&gt;",""),"&lt;/p&gt;",""),"&lt;ul&gt;",""),"&lt;/ul&gt;",""),"&lt;/strong&gt;",""))</f>
        <v/>
      </c>
      <c r="I188" s="12" cm="1" t="str">
        <f t="array" ref="I188">IF(C188="","",IF(OR(H188="",H188=0,H188=FALSE),"-",H188))</f>
        <v/>
      </c>
      <c r="J188">
</c>
      <c r="K188">
</c>
      <c r="L188" s="6" cm="1" t="str">
        <f t="array" ref="L188">IF(C188="","",IF(K188="Mort / Plus rien à faire","KO","OK"))</f>
        <v/>
      </c>
      <c r="M188" s="17">
</c>
      <c r="N188" s="13" cm="1" t="str">
        <f t="array" ref="N188">IF(OR(C188="",M188="",M188=0),"",M188)</f>
        <v/>
      </c>
      <c r="O188" s="17">
</c>
      <c r="P188" s="13" cm="1" t="str">
        <f t="array" ref="P188">IF(C188="","",IF(OR(O188="",O188=0),"-",O188))</f>
        <v/>
      </c>
      <c r="Q188" s="18">
</c>
      <c r="R188" s="6" cm="1" t="str">
        <f t="array" ref="R188">IF(C188="","",ROUND(Q188/1000000,3)&amp;" M€")</f>
        <v/>
      </c>
      <c r="S188" s="19">
</c>
      <c r="T188" s="6" cm="1" t="str">
        <f t="array" ref="T188">IF(C188="","",SUBSTITUTE(S188,"","")&amp;"%")</f>
        <v/>
      </c>
      <c r="U188" s="12" cm="1" t="str">
        <f t="array" ref="U188">IF(($N188="")*($P188=""),"",IF(($N188&lt;&gt;"")*($N188&gt;TODAY()-9)*($N188&lt;TODAY()+1)*($P188&lt;&gt;"")*($P188&gt;=TODAY())*($P188&lt;=TODAY()+13),"Semaine passée &amp; à venir",IF(($N188&lt;&gt;"")*($N188&gt;TODAY()-9)*($N188&lt;TODAY()+1),"Semaine passée",IF(($P188&lt;&gt;"")*($P188&gt;=TODAY())*($P188&lt;=TODAY()+13),"À venir","Autre"))))</f>
        <v/>
      </c>
      <c r="V188" s="5">
</c>
      <c r="W188" s="5">
</c>
      <c r="X188" s="5">
</c>
      <c r="Y188" s="5">
</c>
      <c r="Z188" s="5">
</c>
      <c r="AA188" s="5">
</c>
      <c r="AB188" s="5">
</c>
      <c r="AC188" s="5">
</c>
      <c r="AD188" s="5">
</c>
      <c r="AE188" s="5">
</c>
      <c r="AF188" s="5">
</c>
      <c r="AG188" s="5">
</c>
      <c r="AH188" s="5">
</c>
      <c r="AI188" s="5">
</c>
      <c r="AJ188" s="5">
</c>
      <c r="AK188" s="5">
</c>
    </row>
    <row r="189" ht="65.25" customHeight="1">
      <c r="A189">
</c>
      <c r="B189">
</c>
      <c r="C189" s="16">
</c>
      <c r="D189" s="16">
</c>
      <c r="E189">
</c>
      <c r="F189">
</c>
      <c r="G189" s="6" cm="1" t="str">
        <f t="array" ref="G189">IF(F189="","",SUBSTITUTE(SUBSTITUTE(SUBSTITUTE(SUBSTITUTE(F189,"&lt;li&gt;",CHAR(10)),"&lt;/li&gt;",""),"&lt;br&gt;",CHAR(10)),"&lt;strong&gt;",""))</f>
        <v/>
      </c>
      <c r="H189" s="6" cm="1" t="str">
        <f t="array" ref="H189">IF(G189="","",SUBSTITUTE(SUBSTITUTE(SUBSTITUTE(SUBSTITUTE(SUBSTITUTE(G189,"&lt;p&gt;",""),"&lt;/p&gt;",""),"&lt;ul&gt;",""),"&lt;/ul&gt;",""),"&lt;/strong&gt;",""))</f>
        <v/>
      </c>
      <c r="I189" s="12" cm="1" t="str">
        <f t="array" ref="I189">IF(C189="","",IF(OR(H189="",H189=0,H189=FALSE),"-",H189))</f>
        <v/>
      </c>
      <c r="J189">
</c>
      <c r="K189">
</c>
      <c r="L189" s="6" cm="1" t="str">
        <f t="array" ref="L189">IF(C189="","",IF(K189="Mort / Plus rien à faire","KO","OK"))</f>
        <v/>
      </c>
      <c r="M189" s="17">
</c>
      <c r="N189" s="13" cm="1" t="str">
        <f t="array" ref="N189">IF(OR(C189="",M189="",M189=0),"",M189)</f>
        <v/>
      </c>
      <c r="O189" s="17">
</c>
      <c r="P189" s="13" cm="1" t="str">
        <f t="array" ref="P189">IF(C189="","",IF(OR(O189="",O189=0),"-",O189))</f>
        <v/>
      </c>
      <c r="Q189" s="18">
</c>
      <c r="R189" s="6" cm="1" t="str">
        <f t="array" ref="R189">IF(C189="","",ROUND(Q189/1000000,3)&amp;" M€")</f>
        <v/>
      </c>
      <c r="S189" s="19">
</c>
      <c r="T189" s="6" cm="1" t="str">
        <f t="array" ref="T189">IF(C189="","",SUBSTITUTE(S189,"","")&amp;"%")</f>
        <v/>
      </c>
      <c r="U189" s="12" cm="1" t="str">
        <f t="array" ref="U189">IF(($N189="")*($P189=""),"",IF(($N189&lt;&gt;"")*($N189&gt;TODAY()-9)*($N189&lt;TODAY()+1)*($P189&lt;&gt;"")*($P189&gt;=TODAY())*($P189&lt;=TODAY()+13),"Semaine passée &amp; à venir",IF(($N189&lt;&gt;"")*($N189&gt;TODAY()-9)*($N189&lt;TODAY()+1),"Semaine passée",IF(($P189&lt;&gt;"")*($P189&gt;=TODAY())*($P189&lt;=TODAY()+13),"À venir","Autre"))))</f>
        <v/>
      </c>
      <c r="V189" s="5">
</c>
      <c r="W189" s="5">
</c>
      <c r="X189" s="5">
</c>
      <c r="Y189" s="5">
</c>
      <c r="Z189" s="5">
</c>
      <c r="AA189" s="5">
</c>
      <c r="AB189" s="5">
</c>
      <c r="AC189" s="5">
</c>
      <c r="AD189" s="5">
</c>
      <c r="AE189" s="5">
</c>
      <c r="AF189" s="5">
</c>
      <c r="AG189" s="5">
</c>
      <c r="AH189" s="5">
</c>
      <c r="AI189" s="5">
</c>
      <c r="AJ189" s="5">
</c>
      <c r="AK189" s="5">
</c>
    </row>
    <row r="190" ht="65.25" customHeight="1">
      <c r="A190">
</c>
      <c r="B190">
</c>
      <c r="C190" s="16">
</c>
      <c r="D190" s="16">
</c>
      <c r="E190">
</c>
      <c r="F190">
</c>
      <c r="G190" s="6" cm="1" t="str">
        <f t="array" ref="G190">IF(F190="","",SUBSTITUTE(SUBSTITUTE(SUBSTITUTE(SUBSTITUTE(F190,"&lt;li&gt;",CHAR(10)),"&lt;/li&gt;",""),"&lt;br&gt;",CHAR(10)),"&lt;strong&gt;",""))</f>
        <v/>
      </c>
      <c r="H190" s="6" cm="1" t="str">
        <f t="array" ref="H190">IF(G190="","",SUBSTITUTE(SUBSTITUTE(SUBSTITUTE(SUBSTITUTE(SUBSTITUTE(G190,"&lt;p&gt;",""),"&lt;/p&gt;",""),"&lt;ul&gt;",""),"&lt;/ul&gt;",""),"&lt;/strong&gt;",""))</f>
        <v/>
      </c>
      <c r="I190" s="12" cm="1" t="str">
        <f t="array" ref="I190">IF(C190="","",IF(OR(H190="",H190=0,H190=FALSE),"-",H190))</f>
        <v/>
      </c>
      <c r="J190">
</c>
      <c r="K190">
</c>
      <c r="L190" s="6" cm="1" t="str">
        <f t="array" ref="L190">IF(C190="","",IF(K190="Mort / Plus rien à faire","KO","OK"))</f>
        <v/>
      </c>
      <c r="M190" s="17">
</c>
      <c r="N190" s="13" cm="1" t="str">
        <f t="array" ref="N190">IF(OR(C190="",M190="",M190=0),"",M190)</f>
        <v/>
      </c>
      <c r="O190" s="17">
</c>
      <c r="P190" s="13" cm="1" t="str">
        <f t="array" ref="P190">IF(C190="","",IF(OR(O190="",O190=0),"-",O190))</f>
        <v/>
      </c>
      <c r="Q190" s="18">
</c>
      <c r="R190" s="6" cm="1" t="str">
        <f t="array" ref="R190">IF(C190="","",ROUND(Q190/1000000,3)&amp;" M€")</f>
        <v/>
      </c>
      <c r="S190" s="19">
</c>
      <c r="T190" s="6" cm="1" t="str">
        <f t="array" ref="T190">IF(C190="","",SUBSTITUTE(S190,"","")&amp;"%")</f>
        <v/>
      </c>
      <c r="U190" s="12" cm="1" t="str">
        <f t="array" ref="U190">IF(($N190="")*($P190=""),"",IF(($N190&lt;&gt;"")*($N190&gt;TODAY()-9)*($N190&lt;TODAY()+1)*($P190&lt;&gt;"")*($P190&gt;=TODAY())*($P190&lt;=TODAY()+13),"Semaine passée &amp; à venir",IF(($N190&lt;&gt;"")*($N190&gt;TODAY()-9)*($N190&lt;TODAY()+1),"Semaine passée",IF(($P190&lt;&gt;"")*($P190&gt;=TODAY())*($P190&lt;=TODAY()+13),"À venir","Autre"))))</f>
        <v/>
      </c>
      <c r="V190" s="5">
</c>
      <c r="W190" s="5">
</c>
      <c r="X190" s="5">
</c>
      <c r="Y190" s="5">
</c>
      <c r="Z190" s="5">
</c>
      <c r="AA190" s="5">
</c>
      <c r="AB190" s="5">
</c>
      <c r="AC190" s="5">
</c>
      <c r="AD190" s="5">
</c>
      <c r="AE190" s="5">
</c>
      <c r="AF190" s="5">
</c>
      <c r="AG190" s="5">
</c>
      <c r="AH190" s="5">
</c>
      <c r="AI190" s="5">
</c>
      <c r="AJ190" s="5">
</c>
      <c r="AK190" s="5">
</c>
    </row>
    <row r="191" ht="65.25" customHeight="1">
      <c r="A191">
</c>
      <c r="B191">
</c>
      <c r="C191" s="16">
</c>
      <c r="D191" s="16">
</c>
      <c r="E191">
</c>
      <c r="F191">
</c>
      <c r="G191" s="6" cm="1" t="str">
        <f t="array" ref="G191">IF(F191="","",SUBSTITUTE(SUBSTITUTE(SUBSTITUTE(SUBSTITUTE(F191,"&lt;li&gt;",CHAR(10)),"&lt;/li&gt;",""),"&lt;br&gt;",CHAR(10)),"&lt;strong&gt;",""))</f>
        <v/>
      </c>
      <c r="H191" s="6" cm="1" t="str">
        <f t="array" ref="H191">IF(G191="","",SUBSTITUTE(SUBSTITUTE(SUBSTITUTE(SUBSTITUTE(SUBSTITUTE(G191,"&lt;p&gt;",""),"&lt;/p&gt;",""),"&lt;ul&gt;",""),"&lt;/ul&gt;",""),"&lt;/strong&gt;",""))</f>
        <v/>
      </c>
      <c r="I191" s="12" cm="1" t="str">
        <f t="array" ref="I191">IF(C191="","",IF(OR(H191="",H191=0,H191=FALSE),"-",H191))</f>
        <v/>
      </c>
      <c r="J191">
</c>
      <c r="K191">
</c>
      <c r="L191" s="6" cm="1" t="str">
        <f t="array" ref="L191">IF(C191="","",IF(K191="Mort / Plus rien à faire","KO","OK"))</f>
        <v/>
      </c>
      <c r="M191" s="17">
</c>
      <c r="N191" s="13" cm="1" t="str">
        <f t="array" ref="N191">IF(OR(C191="",M191="",M191=0),"",M191)</f>
        <v/>
      </c>
      <c r="O191" s="17">
</c>
      <c r="P191" s="13" cm="1" t="str">
        <f t="array" ref="P191">IF(C191="","",IF(OR(O191="",O191=0),"-",O191))</f>
        <v/>
      </c>
      <c r="Q191" s="18">
</c>
      <c r="R191" s="6" cm="1" t="str">
        <f t="array" ref="R191">IF(C191="","",ROUND(Q191/1000000,3)&amp;" M€")</f>
        <v/>
      </c>
      <c r="S191" s="19">
</c>
      <c r="T191" s="6" cm="1" t="str">
        <f t="array" ref="T191">IF(C191="","",SUBSTITUTE(S191,"","")&amp;"%")</f>
        <v/>
      </c>
      <c r="U191" s="12" cm="1" t="str">
        <f t="array" ref="U191">IF(($N191="")*($P191=""),"",IF(($N191&lt;&gt;"")*($N191&gt;TODAY()-9)*($N191&lt;TODAY()+1)*($P191&lt;&gt;"")*($P191&gt;=TODAY())*($P191&lt;=TODAY()+13),"Semaine passée &amp; à venir",IF(($N191&lt;&gt;"")*($N191&gt;TODAY()-9)*($N191&lt;TODAY()+1),"Semaine passée",IF(($P191&lt;&gt;"")*($P191&gt;=TODAY())*($P191&lt;=TODAY()+13),"À venir","Autre"))))</f>
        <v/>
      </c>
      <c r="V191" s="5">
</c>
      <c r="W191" s="5">
</c>
      <c r="X191" s="5">
</c>
      <c r="Y191" s="5">
</c>
      <c r="Z191" s="5">
</c>
      <c r="AA191" s="5">
</c>
      <c r="AB191" s="5">
</c>
      <c r="AC191" s="5">
</c>
      <c r="AD191" s="5">
</c>
      <c r="AE191" s="5">
</c>
      <c r="AF191" s="5">
</c>
      <c r="AG191" s="5">
</c>
      <c r="AH191" s="5">
</c>
      <c r="AI191" s="5">
</c>
      <c r="AJ191" s="5">
</c>
      <c r="AK191" s="5">
</c>
    </row>
    <row r="192" ht="65.25" customHeight="1">
      <c r="A192">
</c>
      <c r="B192">
</c>
      <c r="C192" s="16">
</c>
      <c r="D192" s="16">
</c>
      <c r="E192">
</c>
      <c r="F192">
</c>
      <c r="G192" s="6" cm="1" t="str">
        <f t="array" ref="G192">IF(F192="","",SUBSTITUTE(SUBSTITUTE(SUBSTITUTE(SUBSTITUTE(F192,"&lt;li&gt;",CHAR(10)),"&lt;/li&gt;",""),"&lt;br&gt;",CHAR(10)),"&lt;strong&gt;",""))</f>
        <v/>
      </c>
      <c r="H192" s="6" cm="1" t="str">
        <f t="array" ref="H192">IF(G192="","",SUBSTITUTE(SUBSTITUTE(SUBSTITUTE(SUBSTITUTE(SUBSTITUTE(G192,"&lt;p&gt;",""),"&lt;/p&gt;",""),"&lt;ul&gt;",""),"&lt;/ul&gt;",""),"&lt;/strong&gt;",""))</f>
        <v/>
      </c>
      <c r="I192" s="12" cm="1" t="str">
        <f t="array" ref="I192">IF(C192="","",IF(OR(H192="",H192=0,H192=FALSE),"-",H192))</f>
        <v/>
      </c>
      <c r="J192">
</c>
      <c r="K192">
</c>
      <c r="L192" s="6" cm="1" t="str">
        <f t="array" ref="L192">IF(C192="","",IF(K192="Mort / Plus rien à faire","KO","OK"))</f>
        <v/>
      </c>
      <c r="M192" s="17">
</c>
      <c r="N192" s="13" cm="1" t="str">
        <f t="array" ref="N192">IF(OR(C192="",M192="",M192=0),"",M192)</f>
        <v/>
      </c>
      <c r="O192" s="17">
</c>
      <c r="P192" s="13" cm="1" t="str">
        <f t="array" ref="P192">IF(C192="","",IF(OR(O192="",O192=0),"-",O192))</f>
        <v/>
      </c>
      <c r="Q192" s="18">
</c>
      <c r="R192" s="6" cm="1" t="str">
        <f t="array" ref="R192">IF(C192="","",ROUND(Q192/1000000,3)&amp;" M€")</f>
        <v/>
      </c>
      <c r="S192" s="19">
</c>
      <c r="T192" s="6" cm="1" t="str">
        <f t="array" ref="T192">IF(C192="","",SUBSTITUTE(S192,"","")&amp;"%")</f>
        <v/>
      </c>
      <c r="U192" s="12" cm="1" t="str">
        <f t="array" ref="U192">IF(($N192="")*($P192=""),"",IF(($N192&lt;&gt;"")*($N192&gt;TODAY()-9)*($N192&lt;TODAY()+1)*($P192&lt;&gt;"")*($P192&gt;=TODAY())*($P192&lt;=TODAY()+13),"Semaine passée &amp; à venir",IF(($N192&lt;&gt;"")*($N192&gt;TODAY()-9)*($N192&lt;TODAY()+1),"Semaine passée",IF(($P192&lt;&gt;"")*($P192&gt;=TODAY())*($P192&lt;=TODAY()+13),"À venir","Autre"))))</f>
        <v/>
      </c>
      <c r="V192" s="5">
</c>
      <c r="W192" s="5">
</c>
      <c r="X192" s="5">
</c>
      <c r="Y192" s="5">
</c>
      <c r="Z192" s="5">
</c>
      <c r="AA192" s="5">
</c>
      <c r="AB192" s="5">
</c>
      <c r="AC192" s="5">
</c>
      <c r="AD192" s="5">
</c>
      <c r="AE192" s="5">
</c>
      <c r="AF192" s="5">
</c>
      <c r="AG192" s="5">
</c>
      <c r="AH192" s="5">
</c>
      <c r="AI192" s="5">
</c>
      <c r="AJ192" s="5">
</c>
      <c r="AK192" s="5">
</c>
    </row>
    <row r="193" ht="65.25" customHeight="1">
      <c r="A193">
</c>
      <c r="B193">
</c>
      <c r="C193" s="16">
</c>
      <c r="D193" s="16">
</c>
      <c r="E193">
</c>
      <c r="F193">
</c>
      <c r="G193" s="6" cm="1" t="str">
        <f t="array" ref="G193">IF(F193="","",SUBSTITUTE(SUBSTITUTE(SUBSTITUTE(SUBSTITUTE(F193,"&lt;li&gt;",CHAR(10)),"&lt;/li&gt;",""),"&lt;br&gt;",CHAR(10)),"&lt;strong&gt;",""))</f>
        <v/>
      </c>
      <c r="H193" s="6" cm="1" t="str">
        <f t="array" ref="H193">IF(G193="","",SUBSTITUTE(SUBSTITUTE(SUBSTITUTE(SUBSTITUTE(SUBSTITUTE(G193,"&lt;p&gt;",""),"&lt;/p&gt;",""),"&lt;ul&gt;",""),"&lt;/ul&gt;",""),"&lt;/strong&gt;",""))</f>
        <v/>
      </c>
      <c r="I193" s="12" cm="1" t="str">
        <f t="array" ref="I193">IF(C193="","",IF(OR(H193="",H193=0,H193=FALSE),"-",H193))</f>
        <v/>
      </c>
      <c r="J193">
</c>
      <c r="K193">
</c>
      <c r="L193" s="6" cm="1" t="str">
        <f t="array" ref="L193">IF(C193="","",IF(K193="Mort / Plus rien à faire","KO","OK"))</f>
        <v/>
      </c>
      <c r="M193" s="17">
</c>
      <c r="N193" s="13" cm="1" t="str">
        <f t="array" ref="N193">IF(OR(C193="",M193="",M193=0),"",M193)</f>
        <v/>
      </c>
      <c r="O193" s="17">
</c>
      <c r="P193" s="13" cm="1" t="str">
        <f t="array" ref="P193">IF(C193="","",IF(OR(O193="",O193=0),"-",O193))</f>
        <v/>
      </c>
      <c r="Q193" s="18">
</c>
      <c r="R193" s="6" cm="1" t="str">
        <f t="array" ref="R193">IF(C193="","",ROUND(Q193/1000000,3)&amp;" M€")</f>
        <v/>
      </c>
      <c r="S193" s="19">
</c>
      <c r="T193" s="6" cm="1" t="str">
        <f t="array" ref="T193">IF(C193="","",SUBSTITUTE(S193,"","")&amp;"%")</f>
        <v/>
      </c>
      <c r="U193" s="12" cm="1" t="str">
        <f t="array" ref="U193">IF(($N193="")*($P193=""),"",IF(($N193&lt;&gt;"")*($N193&gt;TODAY()-9)*($N193&lt;TODAY()+1)*($P193&lt;&gt;"")*($P193&gt;=TODAY())*($P193&lt;=TODAY()+13),"Semaine passée &amp; à venir",IF(($N193&lt;&gt;"")*($N193&gt;TODAY()-9)*($N193&lt;TODAY()+1),"Semaine passée",IF(($P193&lt;&gt;"")*($P193&gt;=TODAY())*($P193&lt;=TODAY()+13),"À venir","Autre"))))</f>
        <v/>
      </c>
      <c r="V193" s="5">
</c>
      <c r="W193" s="5">
</c>
      <c r="X193" s="5">
</c>
      <c r="Y193" s="5">
</c>
      <c r="Z193" s="5">
</c>
      <c r="AA193" s="5">
</c>
      <c r="AB193" s="5">
</c>
      <c r="AC193" s="5">
</c>
      <c r="AD193" s="5">
</c>
      <c r="AE193" s="5">
</c>
      <c r="AF193" s="5">
</c>
      <c r="AG193" s="5">
</c>
      <c r="AH193" s="5">
</c>
      <c r="AI193" s="5">
</c>
      <c r="AJ193" s="5">
</c>
      <c r="AK193" s="5">
</c>
    </row>
    <row r="194" ht="65.25" customHeight="1">
      <c r="A194">
</c>
      <c r="B194">
</c>
      <c r="C194" s="16">
</c>
      <c r="D194" s="16">
</c>
      <c r="E194">
</c>
      <c r="F194">
</c>
      <c r="G194" s="6" cm="1" t="str">
        <f t="array" ref="G194">IF(F194="","",SUBSTITUTE(SUBSTITUTE(SUBSTITUTE(SUBSTITUTE(F194,"&lt;li&gt;",CHAR(10)),"&lt;/li&gt;",""),"&lt;br&gt;",CHAR(10)),"&lt;strong&gt;",""))</f>
        <v/>
      </c>
      <c r="H194" s="6" cm="1" t="str">
        <f t="array" ref="H194">IF(G194="","",SUBSTITUTE(SUBSTITUTE(SUBSTITUTE(SUBSTITUTE(SUBSTITUTE(G194,"&lt;p&gt;",""),"&lt;/p&gt;",""),"&lt;ul&gt;",""),"&lt;/ul&gt;",""),"&lt;/strong&gt;",""))</f>
        <v/>
      </c>
      <c r="I194" s="12" cm="1" t="str">
        <f t="array" ref="I194">IF(C194="","",IF(OR(H194="",H194=0,H194=FALSE),"-",H194))</f>
        <v/>
      </c>
      <c r="J194">
</c>
      <c r="K194">
</c>
      <c r="L194" s="6" cm="1" t="str">
        <f t="array" ref="L194">IF(C194="","",IF(K194="Mort / Plus rien à faire","KO","OK"))</f>
        <v/>
      </c>
      <c r="M194" s="17">
</c>
      <c r="N194" s="13" cm="1" t="str">
        <f t="array" ref="N194">IF(OR(C194="",M194="",M194=0),"",M194)</f>
        <v/>
      </c>
      <c r="O194" s="17">
</c>
      <c r="P194" s="13" cm="1" t="str">
        <f t="array" ref="P194">IF(C194="","",IF(OR(O194="",O194=0),"-",O194))</f>
        <v/>
      </c>
      <c r="Q194" s="18">
</c>
      <c r="R194" s="6" cm="1" t="str">
        <f t="array" ref="R194">IF(C194="","",ROUND(Q194/1000000,3)&amp;" M€")</f>
        <v/>
      </c>
      <c r="S194" s="19">
</c>
      <c r="T194" s="6" cm="1" t="str">
        <f t="array" ref="T194">IF(C194="","",SUBSTITUTE(S194,"","")&amp;"%")</f>
        <v/>
      </c>
      <c r="U194" s="12" cm="1" t="str">
        <f t="array" ref="U194">IF(($N194="")*($P194=""),"",IF(($N194&lt;&gt;"")*($N194&gt;TODAY()-9)*($N194&lt;TODAY()+1)*($P194&lt;&gt;"")*($P194&gt;=TODAY())*($P194&lt;=TODAY()+13),"Semaine passée &amp; à venir",IF(($N194&lt;&gt;"")*($N194&gt;TODAY()-9)*($N194&lt;TODAY()+1),"Semaine passée",IF(($P194&lt;&gt;"")*($P194&gt;=TODAY())*($P194&lt;=TODAY()+13),"À venir","Autre"))))</f>
        <v/>
      </c>
      <c r="V194" s="5">
</c>
      <c r="W194" s="5">
</c>
      <c r="X194" s="5">
</c>
      <c r="Y194" s="5">
</c>
      <c r="Z194" s="5">
</c>
      <c r="AA194" s="5">
</c>
      <c r="AB194" s="5">
</c>
      <c r="AC194" s="5">
</c>
      <c r="AD194" s="5">
</c>
      <c r="AE194" s="5">
</c>
      <c r="AF194" s="5">
</c>
      <c r="AG194" s="5">
</c>
      <c r="AH194" s="5">
</c>
      <c r="AI194" s="5">
</c>
      <c r="AJ194" s="5">
</c>
      <c r="AK194" s="5">
</c>
    </row>
    <row r="195" ht="65.25" customHeight="1">
      <c r="A195">
</c>
      <c r="B195">
</c>
      <c r="C195" s="16">
</c>
      <c r="D195" s="16">
</c>
      <c r="E195">
</c>
      <c r="F195">
</c>
      <c r="G195" s="6" cm="1" t="str">
        <f t="array" ref="G195">IF(F195="","",SUBSTITUTE(SUBSTITUTE(SUBSTITUTE(SUBSTITUTE(F195,"&lt;li&gt;",CHAR(10)),"&lt;/li&gt;",""),"&lt;br&gt;",CHAR(10)),"&lt;strong&gt;",""))</f>
        <v/>
      </c>
      <c r="H195" s="6" cm="1" t="str">
        <f t="array" ref="H195">IF(G195="","",SUBSTITUTE(SUBSTITUTE(SUBSTITUTE(SUBSTITUTE(SUBSTITUTE(G195,"&lt;p&gt;",""),"&lt;/p&gt;",""),"&lt;ul&gt;",""),"&lt;/ul&gt;",""),"&lt;/strong&gt;",""))</f>
        <v/>
      </c>
      <c r="I195" s="12" cm="1" t="str">
        <f t="array" ref="I195">IF(C195="","",IF(OR(H195="",H195=0,H195=FALSE),"-",H195))</f>
        <v/>
      </c>
      <c r="J195">
</c>
      <c r="K195">
</c>
      <c r="L195" s="6" cm="1" t="str">
        <f t="array" ref="L195">IF(C195="","",IF(K195="Mort / Plus rien à faire","KO","OK"))</f>
        <v/>
      </c>
      <c r="M195" s="17">
</c>
      <c r="N195" s="13" cm="1" t="str">
        <f t="array" ref="N195">IF(OR(C195="",M195="",M195=0),"",M195)</f>
        <v/>
      </c>
      <c r="O195" s="17">
</c>
      <c r="P195" s="13" cm="1" t="str">
        <f t="array" ref="P195">IF(C195="","",IF(OR(O195="",O195=0),"-",O195))</f>
        <v/>
      </c>
      <c r="Q195" s="18">
</c>
      <c r="R195" s="6" cm="1" t="str">
        <f t="array" ref="R195">IF(C195="","",ROUND(Q195/1000000,3)&amp;" M€")</f>
        <v/>
      </c>
      <c r="S195" s="19">
</c>
      <c r="T195" s="6" cm="1" t="str">
        <f t="array" ref="T195">IF(C195="","",SUBSTITUTE(S195,"","")&amp;"%")</f>
        <v/>
      </c>
      <c r="U195" s="12" cm="1" t="str">
        <f t="array" ref="U195">IF(($N195="")*($P195=""),"",IF(($N195&lt;&gt;"")*($N195&gt;TODAY()-9)*($N195&lt;TODAY()+1)*($P195&lt;&gt;"")*($P195&gt;=TODAY())*($P195&lt;=TODAY()+13),"Semaine passée &amp; à venir",IF(($N195&lt;&gt;"")*($N195&gt;TODAY()-9)*($N195&lt;TODAY()+1),"Semaine passée",IF(($P195&lt;&gt;"")*($P195&gt;=TODAY())*($P195&lt;=TODAY()+13),"À venir","Autre"))))</f>
        <v/>
      </c>
      <c r="V195" s="5">
</c>
      <c r="W195" s="5">
</c>
      <c r="X195" s="5">
</c>
      <c r="Y195" s="5">
</c>
      <c r="Z195" s="5">
</c>
      <c r="AA195" s="5">
</c>
      <c r="AB195" s="5">
</c>
      <c r="AC195" s="5">
</c>
      <c r="AD195" s="5">
</c>
      <c r="AE195" s="5">
</c>
      <c r="AF195" s="5">
</c>
      <c r="AG195" s="5">
</c>
      <c r="AH195" s="5">
</c>
      <c r="AI195" s="5">
</c>
      <c r="AJ195" s="5">
</c>
      <c r="AK195" s="5">
</c>
    </row>
    <row r="196" ht="65.25" customHeight="1">
      <c r="A196">
</c>
      <c r="B196">
</c>
      <c r="C196" s="16">
</c>
      <c r="D196" s="16">
</c>
      <c r="E196">
</c>
      <c r="F196">
</c>
      <c r="G196" s="6" cm="1" t="str">
        <f t="array" ref="G196">IF(F196="","",SUBSTITUTE(SUBSTITUTE(SUBSTITUTE(SUBSTITUTE(F196,"&lt;li&gt;",CHAR(10)),"&lt;/li&gt;",""),"&lt;br&gt;",CHAR(10)),"&lt;strong&gt;",""))</f>
        <v/>
      </c>
      <c r="H196" s="6" cm="1" t="str">
        <f t="array" ref="H196">IF(G196="","",SUBSTITUTE(SUBSTITUTE(SUBSTITUTE(SUBSTITUTE(SUBSTITUTE(G196,"&lt;p&gt;",""),"&lt;/p&gt;",""),"&lt;ul&gt;",""),"&lt;/ul&gt;",""),"&lt;/strong&gt;",""))</f>
        <v/>
      </c>
      <c r="I196" s="12" cm="1" t="str">
        <f t="array" ref="I196">IF(C196="","",IF(OR(H196="",H196=0,H196=FALSE),"-",H196))</f>
        <v/>
      </c>
      <c r="J196">
</c>
      <c r="K196">
</c>
      <c r="L196" s="6" cm="1" t="str">
        <f t="array" ref="L196">IF(C196="","",IF(K196="Mort / Plus rien à faire","KO","OK"))</f>
        <v/>
      </c>
      <c r="M196" s="17">
</c>
      <c r="N196" s="13" cm="1" t="str">
        <f t="array" ref="N196">IF(OR(C196="",M196="",M196=0),"",M196)</f>
        <v/>
      </c>
      <c r="O196" s="17">
</c>
      <c r="P196" s="13" cm="1" t="str">
        <f t="array" ref="P196">IF(C196="","",IF(OR(O196="",O196=0),"-",O196))</f>
        <v/>
      </c>
      <c r="Q196" s="18">
</c>
      <c r="R196" s="6" cm="1" t="str">
        <f t="array" ref="R196">IF(C196="","",ROUND(Q196/1000000,3)&amp;" M€")</f>
        <v/>
      </c>
      <c r="S196" s="19">
</c>
      <c r="T196" s="6" cm="1" t="str">
        <f t="array" ref="T196">IF(C196="","",SUBSTITUTE(S196,"","")&amp;"%")</f>
        <v/>
      </c>
      <c r="U196" s="12" cm="1" t="str">
        <f t="array" ref="U196">IF(($N196="")*($P196=""),"",IF(($N196&lt;&gt;"")*($N196&gt;TODAY()-9)*($N196&lt;TODAY()+1)*($P196&lt;&gt;"")*($P196&gt;=TODAY())*($P196&lt;=TODAY()+13),"Semaine passée &amp; à venir",IF(($N196&lt;&gt;"")*($N196&gt;TODAY()-9)*($N196&lt;TODAY()+1),"Semaine passée",IF(($P196&lt;&gt;"")*($P196&gt;=TODAY())*($P196&lt;=TODAY()+13),"À venir","Autre"))))</f>
        <v/>
      </c>
      <c r="V196" s="5">
</c>
      <c r="W196" s="5">
</c>
      <c r="X196" s="5">
</c>
      <c r="Y196" s="5">
</c>
      <c r="Z196" s="5">
</c>
      <c r="AA196" s="5">
</c>
      <c r="AB196" s="5">
</c>
      <c r="AC196" s="5">
</c>
      <c r="AD196" s="5">
</c>
      <c r="AE196" s="5">
</c>
      <c r="AF196" s="5">
</c>
      <c r="AG196" s="5">
</c>
      <c r="AH196" s="5">
</c>
      <c r="AI196" s="5">
</c>
      <c r="AJ196" s="5">
</c>
      <c r="AK196" s="5">
</c>
    </row>
    <row r="197" ht="65.25" customHeight="1">
      <c r="A197">
</c>
      <c r="B197">
</c>
      <c r="C197" s="16">
</c>
      <c r="D197" s="16">
</c>
      <c r="E197">
</c>
      <c r="F197">
</c>
      <c r="G197" s="6" cm="1" t="str">
        <f t="array" ref="G197">IF(F197="","",SUBSTITUTE(SUBSTITUTE(SUBSTITUTE(SUBSTITUTE(F197,"&lt;li&gt;",CHAR(10)),"&lt;/li&gt;",""),"&lt;br&gt;",CHAR(10)),"&lt;strong&gt;",""))</f>
        <v/>
      </c>
      <c r="H197" s="6" cm="1" t="str">
        <f t="array" ref="H197">IF(G197="","",SUBSTITUTE(SUBSTITUTE(SUBSTITUTE(SUBSTITUTE(SUBSTITUTE(G197,"&lt;p&gt;",""),"&lt;/p&gt;",""),"&lt;ul&gt;",""),"&lt;/ul&gt;",""),"&lt;/strong&gt;",""))</f>
        <v/>
      </c>
      <c r="I197" s="12" cm="1" t="str">
        <f t="array" ref="I197">IF(C197="","",IF(OR(H197="",H197=0,H197=FALSE),"-",H197))</f>
        <v/>
      </c>
      <c r="J197">
</c>
      <c r="K197">
</c>
      <c r="L197" s="6" cm="1" t="str">
        <f t="array" ref="L197">IF(C197="","",IF(K197="Mort / Plus rien à faire","KO","OK"))</f>
        <v/>
      </c>
      <c r="M197" s="17">
</c>
      <c r="N197" s="13" cm="1" t="str">
        <f t="array" ref="N197">IF(OR(C197="",M197="",M197=0),"",M197)</f>
        <v/>
      </c>
      <c r="O197" s="17">
</c>
      <c r="P197" s="13" cm="1" t="str">
        <f t="array" ref="P197">IF(C197="","",IF(OR(O197="",O197=0),"-",O197))</f>
        <v/>
      </c>
      <c r="Q197" s="18">
</c>
      <c r="R197" s="6" cm="1" t="str">
        <f t="array" ref="R197">IF(C197="","",ROUND(Q197/1000000,3)&amp;" M€")</f>
        <v/>
      </c>
      <c r="S197" s="19">
</c>
      <c r="T197" s="6" cm="1" t="str">
        <f t="array" ref="T197">IF(C197="","",SUBSTITUTE(S197,"","")&amp;"%")</f>
        <v/>
      </c>
      <c r="U197" s="12" cm="1" t="str">
        <f t="array" ref="U197">IF(($N197="")*($P197=""),"",IF(($N197&lt;&gt;"")*($N197&gt;TODAY()-9)*($N197&lt;TODAY()+1)*($P197&lt;&gt;"")*($P197&gt;=TODAY())*($P197&lt;=TODAY()+13),"Semaine passée &amp; à venir",IF(($N197&lt;&gt;"")*($N197&gt;TODAY()-9)*($N197&lt;TODAY()+1),"Semaine passée",IF(($P197&lt;&gt;"")*($P197&gt;=TODAY())*($P197&lt;=TODAY()+13),"À venir","Autre"))))</f>
        <v/>
      </c>
      <c r="V197" s="5">
</c>
      <c r="W197" s="5">
</c>
      <c r="X197" s="5">
</c>
      <c r="Y197" s="5">
</c>
      <c r="Z197" s="5">
</c>
      <c r="AA197" s="5">
</c>
      <c r="AB197" s="5">
</c>
      <c r="AC197" s="5">
</c>
      <c r="AD197" s="5">
</c>
      <c r="AE197" s="5">
</c>
      <c r="AF197" s="5">
</c>
      <c r="AG197" s="5">
</c>
      <c r="AH197" s="5">
</c>
      <c r="AI197" s="5">
</c>
      <c r="AJ197" s="5">
</c>
      <c r="AK197" s="5">
</c>
    </row>
    <row r="198" ht="65.25" customHeight="1">
      <c r="A198">
</c>
      <c r="B198">
</c>
      <c r="C198" s="16">
</c>
      <c r="D198" s="16">
</c>
      <c r="E198">
</c>
      <c r="F198">
</c>
      <c r="G198" s="6" cm="1" t="str">
        <f t="array" ref="G198">IF(F198="","",SUBSTITUTE(SUBSTITUTE(SUBSTITUTE(SUBSTITUTE(F198,"&lt;li&gt;",CHAR(10)),"&lt;/li&gt;",""),"&lt;br&gt;",CHAR(10)),"&lt;strong&gt;",""))</f>
        <v/>
      </c>
      <c r="H198" s="6" cm="1" t="str">
        <f t="array" ref="H198">IF(G198="","",SUBSTITUTE(SUBSTITUTE(SUBSTITUTE(SUBSTITUTE(SUBSTITUTE(G198,"&lt;p&gt;",""),"&lt;/p&gt;",""),"&lt;ul&gt;",""),"&lt;/ul&gt;",""),"&lt;/strong&gt;",""))</f>
        <v/>
      </c>
      <c r="I198" s="12" cm="1" t="str">
        <f t="array" ref="I198">IF(C198="","",IF(OR(H198="",H198=0,H198=FALSE),"-",H198))</f>
        <v/>
      </c>
      <c r="J198">
</c>
      <c r="K198">
</c>
      <c r="L198" s="6" cm="1" t="str">
        <f t="array" ref="L198">IF(C198="","",IF(K198="Mort / Plus rien à faire","KO","OK"))</f>
        <v/>
      </c>
      <c r="M198" s="17">
</c>
      <c r="N198" s="13" cm="1" t="str">
        <f t="array" ref="N198">IF(OR(C198="",M198="",M198=0),"",M198)</f>
        <v/>
      </c>
      <c r="O198" s="17">
</c>
      <c r="P198" s="13" cm="1" t="str">
        <f t="array" ref="P198">IF(C198="","",IF(OR(O198="",O198=0),"-",O198))</f>
        <v/>
      </c>
      <c r="Q198" s="18">
</c>
      <c r="R198" s="6" cm="1" t="str">
        <f t="array" ref="R198">IF(C198="","",ROUND(Q198/1000000,3)&amp;" M€")</f>
        <v/>
      </c>
      <c r="S198" s="19">
</c>
      <c r="T198" s="6" cm="1" t="str">
        <f t="array" ref="T198">IF(C198="","",SUBSTITUTE(S198,"","")&amp;"%")</f>
        <v/>
      </c>
      <c r="U198" s="12" cm="1" t="str">
        <f t="array" ref="U198">IF(($N198="")*($P198=""),"",IF(($N198&lt;&gt;"")*($N198&gt;TODAY()-9)*($N198&lt;TODAY()+1)*($P198&lt;&gt;"")*($P198&gt;=TODAY())*($P198&lt;=TODAY()+13),"Semaine passée &amp; à venir",IF(($N198&lt;&gt;"")*($N198&gt;TODAY()-9)*($N198&lt;TODAY()+1),"Semaine passée",IF(($P198&lt;&gt;"")*($P198&gt;=TODAY())*($P198&lt;=TODAY()+13),"À venir","Autre"))))</f>
        <v/>
      </c>
      <c r="V198" s="5">
</c>
      <c r="W198" s="5">
</c>
      <c r="X198" s="5">
</c>
      <c r="Y198" s="5">
</c>
      <c r="Z198" s="5">
</c>
      <c r="AA198" s="5">
</c>
      <c r="AB198" s="5">
</c>
      <c r="AC198" s="5">
</c>
      <c r="AD198" s="5">
</c>
      <c r="AE198" s="5">
</c>
      <c r="AF198" s="5">
</c>
      <c r="AG198" s="5">
</c>
      <c r="AH198" s="5">
</c>
      <c r="AI198" s="5">
</c>
      <c r="AJ198" s="5">
</c>
      <c r="AK198" s="5">
</c>
    </row>
    <row r="199" ht="65.25" customHeight="1">
      <c r="A199">
</c>
      <c r="B199">
</c>
      <c r="C199" s="16">
</c>
      <c r="D199" s="16">
</c>
      <c r="E199">
</c>
      <c r="F199">
</c>
      <c r="G199" s="6" cm="1" t="str">
        <f t="array" ref="G199">IF(F199="","",SUBSTITUTE(SUBSTITUTE(SUBSTITUTE(SUBSTITUTE(F199,"&lt;li&gt;",CHAR(10)),"&lt;/li&gt;",""),"&lt;br&gt;",CHAR(10)),"&lt;strong&gt;",""))</f>
        <v/>
      </c>
      <c r="H199" s="6" cm="1" t="str">
        <f t="array" ref="H199">IF(G199="","",SUBSTITUTE(SUBSTITUTE(SUBSTITUTE(SUBSTITUTE(SUBSTITUTE(G199,"&lt;p&gt;",""),"&lt;/p&gt;",""),"&lt;ul&gt;",""),"&lt;/ul&gt;",""),"&lt;/strong&gt;",""))</f>
        <v/>
      </c>
      <c r="I199" s="12" cm="1" t="str">
        <f t="array" ref="I199">IF(C199="","",IF(OR(H199="",H199=0,H199=FALSE),"-",H199))</f>
        <v/>
      </c>
      <c r="J199">
</c>
      <c r="K199">
</c>
      <c r="L199" s="6" cm="1" t="str">
        <f t="array" ref="L199">IF(C199="","",IF(K199="Mort / Plus rien à faire","KO","OK"))</f>
        <v/>
      </c>
      <c r="M199" s="17">
</c>
      <c r="N199" s="13" cm="1" t="str">
        <f t="array" ref="N199">IF(OR(C199="",M199="",M199=0),"",M199)</f>
        <v/>
      </c>
      <c r="O199" s="17">
</c>
      <c r="P199" s="13" cm="1" t="str">
        <f t="array" ref="P199">IF(C199="","",IF(OR(O199="",O199=0),"-",O199))</f>
        <v/>
      </c>
      <c r="Q199" s="18">
</c>
      <c r="R199" s="6" cm="1" t="str">
        <f t="array" ref="R199">IF(C199="","",ROUND(Q199/1000000,3)&amp;" M€")</f>
        <v/>
      </c>
      <c r="S199" s="19">
</c>
      <c r="T199" s="6" cm="1" t="str">
        <f t="array" ref="T199">IF(C199="","",SUBSTITUTE(S199,"","")&amp;"%")</f>
        <v/>
      </c>
      <c r="U199" s="12" cm="1" t="str">
        <f t="array" ref="U199">IF(($N199="")*($P199=""),"",IF(($N199&lt;&gt;"")*($N199&gt;TODAY()-9)*($N199&lt;TODAY()+1)*($P199&lt;&gt;"")*($P199&gt;=TODAY())*($P199&lt;=TODAY()+13),"Semaine passée &amp; à venir",IF(($N199&lt;&gt;"")*($N199&gt;TODAY()-9)*($N199&lt;TODAY()+1),"Semaine passée",IF(($P199&lt;&gt;"")*($P199&gt;=TODAY())*($P199&lt;=TODAY()+13),"À venir","Autre"))))</f>
        <v/>
      </c>
      <c r="V199" s="5">
</c>
      <c r="W199" s="5">
</c>
      <c r="X199" s="5">
</c>
      <c r="Y199" s="5">
</c>
      <c r="Z199" s="5">
</c>
      <c r="AA199" s="5">
</c>
      <c r="AB199" s="5">
</c>
      <c r="AC199" s="5">
</c>
      <c r="AD199" s="5">
</c>
      <c r="AE199" s="5">
</c>
      <c r="AF199" s="5">
</c>
      <c r="AG199" s="5">
</c>
      <c r="AH199" s="5">
</c>
      <c r="AI199" s="5">
</c>
      <c r="AJ199" s="5">
</c>
      <c r="AK199" s="5">
</c>
    </row>
    <row r="200" ht="65.25" customHeight="1">
      <c r="A200">
</c>
      <c r="B200">
</c>
      <c r="C200" s="16">
</c>
      <c r="D200" s="16">
</c>
      <c r="E200">
</c>
      <c r="F200">
</c>
      <c r="G200" s="6" cm="1" t="str">
        <f t="array" ref="G200">IF(F200="","",SUBSTITUTE(SUBSTITUTE(SUBSTITUTE(SUBSTITUTE(F200,"&lt;li&gt;",CHAR(10)),"&lt;/li&gt;",""),"&lt;br&gt;",CHAR(10)),"&lt;strong&gt;",""))</f>
        <v/>
      </c>
      <c r="H200" s="6" cm="1" t="str">
        <f t="array" ref="H200">IF(G200="","",SUBSTITUTE(SUBSTITUTE(SUBSTITUTE(SUBSTITUTE(SUBSTITUTE(G200,"&lt;p&gt;",""),"&lt;/p&gt;",""),"&lt;ul&gt;",""),"&lt;/ul&gt;",""),"&lt;/strong&gt;",""))</f>
        <v/>
      </c>
      <c r="I200" s="12" cm="1" t="str">
        <f t="array" ref="I200">IF(C200="","",IF(OR(H200="",H200=0,H200=FALSE),"-",H200))</f>
        <v/>
      </c>
      <c r="J200">
</c>
      <c r="K200">
</c>
      <c r="L200" s="6" cm="1" t="str">
        <f t="array" ref="L200">IF(C200="","",IF(K200="Mort / Plus rien à faire","KO","OK"))</f>
        <v/>
      </c>
      <c r="M200" s="17">
</c>
      <c r="N200" s="13" cm="1" t="str">
        <f t="array" ref="N200">IF(OR(C200="",M200="",M200=0),"",M200)</f>
        <v/>
      </c>
      <c r="O200" s="17">
</c>
      <c r="P200" s="13" cm="1" t="str">
        <f t="array" ref="P200">IF(C200="","",IF(OR(O200="",O200=0),"-",O200))</f>
        <v/>
      </c>
      <c r="Q200" s="18">
</c>
      <c r="R200" s="6" cm="1" t="str">
        <f t="array" ref="R200">IF(C200="","",ROUND(Q200/1000000,3)&amp;" M€")</f>
        <v/>
      </c>
      <c r="S200" s="19">
</c>
      <c r="T200" s="6" cm="1" t="str">
        <f t="array" ref="T200">IF(C200="","",SUBSTITUTE(S200,"","")&amp;"%")</f>
        <v/>
      </c>
      <c r="U200" s="12" cm="1" t="str">
        <f t="array" ref="U200">IF(($N200="")*($P200=""),"",IF(($N200&lt;&gt;"")*($N200&gt;TODAY()-9)*($N200&lt;TODAY()+1)*($P200&lt;&gt;"")*($P200&gt;=TODAY())*($P200&lt;=TODAY()+13),"Semaine passée &amp; à venir",IF(($N200&lt;&gt;"")*($N200&gt;TODAY()-9)*($N200&lt;TODAY()+1),"Semaine passée",IF(($P200&lt;&gt;"")*($P200&gt;=TODAY())*($P200&lt;=TODAY()+13),"À venir","Autre"))))</f>
        <v/>
      </c>
      <c r="V200" s="5">
</c>
      <c r="W200" s="5">
</c>
      <c r="X200" s="5">
</c>
      <c r="Y200" s="5">
</c>
      <c r="Z200" s="5">
</c>
      <c r="AA200" s="5">
</c>
      <c r="AB200" s="5">
</c>
      <c r="AC200" s="5">
</c>
      <c r="AD200" s="5">
</c>
      <c r="AE200" s="5">
</c>
      <c r="AF200" s="5">
</c>
      <c r="AG200" s="5">
</c>
      <c r="AH200" s="5">
</c>
      <c r="AI200" s="5">
</c>
      <c r="AJ200" s="5">
</c>
      <c r="AK200" s="5">
</c>
    </row>
    <row r="201" ht="65.25" customHeight="1">
      <c r="A201">
</c>
      <c r="B201">
</c>
      <c r="C201" s="16">
</c>
      <c r="D201" s="16">
</c>
      <c r="E201">
</c>
      <c r="F201">
</c>
      <c r="G201" s="6" cm="1" t="str">
        <f t="array" ref="G201">IF(F201="","",SUBSTITUTE(SUBSTITUTE(SUBSTITUTE(SUBSTITUTE(F201,"&lt;li&gt;",CHAR(10)),"&lt;/li&gt;",""),"&lt;br&gt;",CHAR(10)),"&lt;strong&gt;",""))</f>
        <v/>
      </c>
      <c r="H201" s="6" cm="1" t="str">
        <f t="array" ref="H201">IF(G201="","",SUBSTITUTE(SUBSTITUTE(SUBSTITUTE(SUBSTITUTE(SUBSTITUTE(G201,"&lt;p&gt;",""),"&lt;/p&gt;",""),"&lt;ul&gt;",""),"&lt;/ul&gt;",""),"&lt;/strong&gt;",""))</f>
        <v/>
      </c>
      <c r="I201" s="12" cm="1" t="str">
        <f t="array" ref="I201">IF(C201="","",IF(OR(H201="",H201=0,H201=FALSE),"-",H201))</f>
        <v/>
      </c>
      <c r="J201">
</c>
      <c r="K201">
</c>
      <c r="L201" s="6" cm="1" t="str">
        <f t="array" ref="L201">IF(C201="","",IF(K201="Mort / Plus rien à faire","KO","OK"))</f>
        <v/>
      </c>
      <c r="M201" s="17">
</c>
      <c r="N201" s="13" cm="1" t="str">
        <f t="array" ref="N201">IF(OR(C201="",M201="",M201=0),"",M201)</f>
        <v/>
      </c>
      <c r="O201" s="17">
</c>
      <c r="P201" s="13" cm="1" t="str">
        <f t="array" ref="P201">IF(C201="","",IF(OR(O201="",O201=0),"-",O201))</f>
        <v/>
      </c>
      <c r="Q201" s="18">
</c>
      <c r="R201" s="6" cm="1" t="str">
        <f t="array" ref="R201">IF(C201="","",ROUND(Q201/1000000,3)&amp;" M€")</f>
        <v/>
      </c>
      <c r="S201" s="19">
</c>
      <c r="T201" s="6" cm="1" t="str">
        <f t="array" ref="T201">IF(C201="","",SUBSTITUTE(S201,"","")&amp;"%")</f>
        <v/>
      </c>
      <c r="U201" s="12" cm="1" t="str">
        <f t="array" ref="U201">IF(($N201="")*($P201=""),"",IF(($N201&lt;&gt;"")*($N201&gt;TODAY()-9)*($N201&lt;TODAY()+1)*($P201&lt;&gt;"")*($P201&gt;=TODAY())*($P201&lt;=TODAY()+13),"Semaine passée &amp; à venir",IF(($N201&lt;&gt;"")*($N201&gt;TODAY()-9)*($N201&lt;TODAY()+1),"Semaine passée",IF(($P201&lt;&gt;"")*($P201&gt;=TODAY())*($P201&lt;=TODAY()+13),"À venir","Autre"))))</f>
        <v/>
      </c>
      <c r="V201" s="5">
</c>
      <c r="W201" s="5">
</c>
      <c r="X201" s="5">
</c>
      <c r="Y201" s="5">
</c>
      <c r="Z201" s="5">
</c>
      <c r="AA201" s="5">
</c>
      <c r="AB201" s="5">
</c>
      <c r="AC201" s="5">
</c>
      <c r="AD201" s="5">
</c>
      <c r="AE201" s="5">
</c>
      <c r="AF201" s="5">
</c>
      <c r="AG201" s="5">
</c>
      <c r="AH201" s="5">
</c>
      <c r="AI201" s="5">
</c>
      <c r="AJ201" s="5">
</c>
      <c r="AK201" s="5">
</c>
    </row>
    <row r="202" ht="65.25" customHeight="1">
      <c r="A202">
</c>
      <c r="B202">
</c>
      <c r="C202" s="16">
</c>
      <c r="D202" s="16">
</c>
      <c r="E202">
</c>
      <c r="F202">
</c>
      <c r="G202" s="6" cm="1" t="str">
        <f t="array" ref="G202">IF(F202="","",SUBSTITUTE(SUBSTITUTE(SUBSTITUTE(SUBSTITUTE(F202,"&lt;li&gt;",CHAR(10)),"&lt;/li&gt;",""),"&lt;br&gt;",CHAR(10)),"&lt;strong&gt;",""))</f>
        <v/>
      </c>
      <c r="H202" s="6" cm="1" t="str">
        <f t="array" ref="H202">IF(G202="","",SUBSTITUTE(SUBSTITUTE(SUBSTITUTE(SUBSTITUTE(SUBSTITUTE(G202,"&lt;p&gt;",""),"&lt;/p&gt;",""),"&lt;ul&gt;",""),"&lt;/ul&gt;",""),"&lt;/strong&gt;",""))</f>
        <v/>
      </c>
      <c r="I202" s="12" cm="1" t="str">
        <f t="array" ref="I202">IF(C202="","",IF(OR(H202="",H202=0,H202=FALSE),"-",H202))</f>
        <v/>
      </c>
      <c r="J202">
</c>
      <c r="K202">
</c>
      <c r="L202" s="6" cm="1" t="str">
        <f t="array" ref="L202">IF(C202="","",IF(K202="Mort / Plus rien à faire","KO","OK"))</f>
        <v/>
      </c>
      <c r="M202" s="17">
</c>
      <c r="N202" s="13" cm="1" t="str">
        <f t="array" ref="N202">IF(OR(C202="",M202="",M202=0),"",M202)</f>
        <v/>
      </c>
      <c r="O202" s="17">
</c>
      <c r="P202" s="13" cm="1" t="str">
        <f t="array" ref="P202">IF(C202="","",IF(OR(O202="",O202=0),"-",O202))</f>
        <v/>
      </c>
      <c r="Q202" s="18">
</c>
      <c r="R202" s="6" cm="1" t="str">
        <f t="array" ref="R202">IF(C202="","",ROUND(Q202/1000000,3)&amp;" M€")</f>
        <v/>
      </c>
      <c r="S202" s="19">
</c>
      <c r="T202" s="6" cm="1" t="str">
        <f t="array" ref="T202">IF(C202="","",SUBSTITUTE(S202,"","")&amp;"%")</f>
        <v/>
      </c>
      <c r="U202" s="12" cm="1" t="str">
        <f t="array" ref="U202">IF(($N202="")*($P202=""),"",IF(($N202&lt;&gt;"")*($N202&gt;TODAY()-9)*($N202&lt;TODAY()+1)*($P202&lt;&gt;"")*($P202&gt;=TODAY())*($P202&lt;=TODAY()+13),"Semaine passée &amp; à venir",IF(($N202&lt;&gt;"")*($N202&gt;TODAY()-9)*($N202&lt;TODAY()+1),"Semaine passée",IF(($P202&lt;&gt;"")*($P202&gt;=TODAY())*($P202&lt;=TODAY()+13),"À venir","Autre"))))</f>
        <v/>
      </c>
      <c r="V202" s="5">
</c>
      <c r="W202" s="5">
</c>
      <c r="X202" s="5">
</c>
      <c r="Y202" s="5">
</c>
      <c r="Z202" s="5">
</c>
      <c r="AA202" s="5">
</c>
      <c r="AB202" s="5">
</c>
      <c r="AC202" s="5">
</c>
      <c r="AD202" s="5">
</c>
      <c r="AE202" s="5">
</c>
      <c r="AF202" s="5">
</c>
      <c r="AG202" s="5">
</c>
      <c r="AH202" s="5">
</c>
      <c r="AI202" s="5">
</c>
      <c r="AJ202" s="5">
</c>
      <c r="AK202" s="5">
</c>
    </row>
  </sheetData>
  <conditionalFormatting sqref="N4:N202">
    <cfRule priority="1" stopIfTrue="0" type="expression" dxfId="0">
      <formula>($N4&lt;&gt;"")*(($N4&gt;TODAY()-9)*($N4&lt;TODAY()+1)+(INT($N4)=TODAY()))
</formula>
    </cfRule>
  </conditionalFormatting>
  <conditionalFormatting sqref="P4:P202">
    <cfRule priority="1" stopIfTrue="0" type="expression" dxfId="1">
      <formula>($P4&lt;&gt;"")*($P4&gt;=TODAY())*($P4&lt;=TODAY()+13)</formula>
    </cfRule>
  </conditionalFormatting>
  <conditionalFormatting sqref="I4:I202">
    <cfRule priority="1" stopIfTrue="0" type="expression" dxfId="0">
      <formula>(($N4&lt;&gt;"")*($N4&gt;TODAY()-9)*($N4&lt;=TODAY())) + (($P4&lt;&gt;"")*($P4&gt;=TODAY())*($P4&lt;=TODAY()+13))</formula>
    </cfRule>
  </conditionalFormatting>
  <conditionalFormatting sqref="U4:U202">
    <cfRule priority="1" stopIfTrue="0" type="containsText" text="Semaine passée &amp; à venir" operator="containsText" dxfId="0">
      <formula>NOT(ISERROR(SEARCH("Semaine passée &amp; à venir",U4)))</formula>
    </cfRule>
  </conditionalFormatting>
  <conditionalFormatting sqref="U4:U202">
    <cfRule priority="1" stopIfTrue="0" type="containsText" text="À venir" operator="containsText" dxfId="0">
      <formula>NOT(ISERROR(SEARCH("À venir",U4)))</formula>
    </cfRule>
  </conditionalFormatting>
  <conditionalFormatting sqref="U4:U202">
    <cfRule priority="1" stopIfTrue="0" type="containsText" text="Semaine passée" operator="containsText" dxfId="0">
      <formula>NOT(ISERROR(SEARCH("Semaine passée",U4)))</formula>
    </cfRule>
  </conditionalFormatting>
  <tableParts count="1">
    <tablePart r:id="rId1"/>
  </tableParts>
</worksheet>
</file>