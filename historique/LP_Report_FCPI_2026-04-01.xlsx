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<sst xmlns="http://schemas.openxmlformats.org/spreadsheetml/2006/main" count="145" uniqueCount="145">
  <si>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</si>
  <si>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</si>
  <si>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</si>
  <si>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</si>
  <si>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</si>
  <si>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</si>
  <si>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</si>
  <si>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</si>
  <si>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</si>
  <si>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</si>
  <si>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</si>
  <si>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</si>
  <si>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</si>
  <si>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</si>
  <si>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</si>
  <si>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</si>
  <si>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</si>
  <si>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</si>
  <si>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</si>
  <si>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</si>
  <si>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</si>
  <si>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</si>
  <si>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</si>
  <si>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Audacia Capital Innovation</t>
  </si>
  <si>
    <t>CGP</t>
  </si>
  <si>
    <t>COMMENT BIEN INVESTIR</t>
  </si>
  <si>
    <t>Benoit Richard</t>
  </si>
  <si>
    <t>Pauline Cavalié</t>
  </si>
  <si>
    <t>&lt;p&gt;Appel entrant 08/12 : demande infos FCPI, présentation Audacia, envoi Deck + convention vierge. 10/12 : convention signée. Aucun retour prospect sur fonds présenté. Pas d'autres actions ou prochaines étapes mentionnées. Pas d'activité récente hors échanges FCPI.&lt;/p&gt;</t>
  </si>
  <si>
    <t>Souscription réalisée</t>
  </si>
  <si>
    <t>MEILLEURS FCPI</t>
  </si>
  <si>
    <t>Valentin Giraud</t>
  </si>
  <si>
    <t>&lt;p&gt;Appel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récentes.&lt;/p&gt;</t>
  </si>
  <si>
    <t>HNWI</t>
  </si>
  <si>
    <t>Gilles Closset</t>
  </si>
  <si>
    <t>Edouard Gaurier</t>
  </si>
  <si>
    <t>&lt;p&gt;Aucune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t>
  </si>
  <si>
    <t>Cabinet Marc Jesuran</t>
  </si>
  <si>
    <t>Marc JESURAN</t>
  </si>
  <si>
    <t>&lt;p&gt;RDV 24/03 : présentation Audacia/FCPI, prospect intéressé pour proposer FCPI à ses clients (campagne mail possible, tickets 5-20k), déjà signé convention distribution. Attente envoi présentation FCPI, modèle mail, RDV avec Cédric. Intérêt aussi pour FCPR Défense. Relances et échanges réguliers.&lt;/p&gt;</t>
  </si>
  <si>
    <t>Organiser un RDV avec Cédric</t>
  </si>
  <si>
    <t>Interêt indicatif - A creuser</t>
  </si>
  <si>
    <t>Lucas Jouan</t>
  </si>
  <si>
    <t>&lt;p&gt;Piste créée pour équipe Ventes. Mail envoyé pour prévoir échange téléphonique sur le FCPI (30/03/2026). Pas de retour prospect ni d'autres actions ou avis sur le fonds à ce stade. Prochaine étape&amp;nbsp;: organiser l'échange téléphonique sur le FCPI. Aucun autre suivi ou activité notée.&lt;/p&gt;</t>
  </si>
  <si>
    <t>Stéphane Melli</t>
  </si>
  <si>
    <t>Levée de Fonds</t>
  </si>
  <si>
    <t>&lt;p&gt;Aucune activité menée sur le prospect. Nouvelle piste créée pour l'équipe Ventes, aucun échange, action ou retour enregistré à ce jour. Pas d'informations sur le contexte de création ni d'avis ou de conclusions de la part du prospect. Prochaines étapes non définies.&lt;/p&gt;</t>
  </si>
  <si>
    <t>Banque (haut de bilan)</t>
  </si>
  <si>
    <t>BANQUE POPULAIRE AUVERGNE RHONE ALPES</t>
  </si>
  <si>
    <t>Virginie Bernard</t>
  </si>
  <si>
    <t>Romain Andrieu</t>
  </si>
  <si>
    <t>&lt;p&gt;Nouvelle piste créée pour équipe Ventes. Prévu : réunion de présentation, mais reportée à une date ultérieure. Dernière activité le 17/03, pas d'autres échanges ou retours du prospect. Prochaine étape : replanifier la réunion, pas de feedback prospect à ce stade.&lt;/p&gt;</t>
  </si>
  <si>
    <t>réunion de présentation / décaler à plus tard.</t>
  </si>
  <si>
    <t>Intérêt à qualifier</t>
  </si>
  <si>
    <t>DEBEVE PATRIMOINE</t>
  </si>
  <si>
    <t>Vincent DEBEVE</t>
  </si>
  <si>
    <t>&lt;p&gt;Cold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septembre.&lt;/p&gt;</t>
  </si>
  <si>
    <t>Relance Mai / juin avant la campagne des déclarations fiscales</t>
  </si>
  <si>
    <t>CAISSE D'EPARGNE BOURGOGNE FRANCHE CONTE</t>
  </si>
  <si>
    <t>Anne Chaineaux</t>
  </si>
  <si>
    <t>&lt;p&gt;Approche banquier privé initiée, rdv calé avec Romain Barnay (Directeur Banque Privé). Pas encore de retour du prospect sur les fonds présentés. Prochaine étape : rdv prévu le 17/04 avec Romain Barnay pour avancer sur l'opportunité. Aucun retour prospect enregistré à ce stade.&lt;/p&gt;</t>
  </si>
  <si>
    <t>rdv calé avec Romain Barnay (Directeur Banque Privé / Romain Barnay)</t>
  </si>
  <si>
    <t>BALLMONT GESTION PRIVEE</t>
  </si>
  <si>
    <t>Geoffrey Chaumeron</t>
  </si>
  <si>
    <t>&lt;p&gt;Cold call 25/02, RDV fixé. 17/03 visio FCPI Capital Innovation : prospect intéressé, veut infos régulières, focus sur sous-jacents, défisc prioritaire pour ses clients. Prochaine étape : mail avec présentations FCPI, convention vierge, RDV 2 à organiser début mai avec Cédric pour présentation outil onboarding et signature convention.&lt;/p&gt;</t>
  </si>
  <si>
    <t>Relance pour organisation du RDV 2</t>
  </si>
  <si>
    <t>AMBACIA PATRIMOINE</t>
  </si>
  <si>
    <t>Clémence Rytlewski</t>
  </si>
  <si>
    <t>&lt;p&gt;Cold call 25/02 : prospect travaille surtout avec LBO France, peu d'intérêt clients pour FCPI. Présentation Audacia envoyée, proposition RDV avec gérant. 25/02 : mail présentation FCPI envoyé. 19/03 : relance mail et proposition RDV. Sujet non prioritaire pour le prospect. Pas d'action prévue à ce stade.&lt;/p&gt;</t>
  </si>
  <si>
    <t>INTENCIAL</t>
  </si>
  <si>
    <t>Jonathan BENHARROUS</t>
  </si>
  <si>
    <t>&lt;p&gt;RDV physique 23/03 avec Pierre Massart (Intencial) : échanges sur offre immobilière/PE, digitalisation à venir, due diligence lancée, liste de docs reçue. Comité reporté à mai/juin, attente éléments complémentaires. Intérêt pour nouvelle offre PE, focus sur digital, rétrocession frais demandée, process en cours.&lt;/p&gt;</t>
  </si>
  <si>
    <t>Comité de validation /  mai ou juin / en attente de la due dil.</t>
  </si>
  <si>
    <t xml:space="preserve">ARTAZAN PATRIMOINE </t>
  </si>
  <si>
    <t>Arthur Azadan</t>
  </si>
  <si>
    <t>&lt;p&gt;Cold call 25/11, client CGP Paris, peu de PE, intérêt dette privée/infra, possible intérêt Capital Innovation. Présentation envoyée 01/12, relance mail FCPI 16/12. Pas de feedback prospect sur fonds. Prochaine étape non précisée, dernière action : relance mail suite présentation.&lt;/p&gt;</t>
  </si>
  <si>
    <t>REDUCTION-IMPOTS.FR</t>
  </si>
  <si>
    <t>Bertrand Brottier</t>
  </si>
  <si>
    <t>&lt;p&gt;Multiples appels pour proposer FCPI JEI à société déjà active sur FCPI (Eurazeo, Eiffel, Vatel). Intérêt confirmé, mais surcharge liée au PLF 2026, relance prévue début avril. Dernier échange 30/03&amp;nbsp;: toujours intéressés pour commercialiser. Prochaine étape&amp;nbsp;: appel à passer pour avancer.&lt;/p&gt;</t>
  </si>
  <si>
    <t>Présentation FCPI Audacia Capital Innovation</t>
  </si>
  <si>
    <t>CHEVAL BLANC PATRIMOINE</t>
  </si>
  <si>
    <t>Nam Delpierre</t>
  </si>
  <si>
    <t>&lt;p&gt;25/02/26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t>
  </si>
  <si>
    <t>Pas encore prêt - A alimenter</t>
  </si>
  <si>
    <t>Corporate</t>
  </si>
  <si>
    <t>AUREA WM</t>
  </si>
  <si>
    <t>AUREA WM, Julien Ros</t>
  </si>
  <si>
    <t>&lt;p&gt;Multiples relances FCPI par mail et appels (messages laissés 25/02, 04/03, 16/03). Mail envoyé 17/03 pour proposer rdv courant mars. Prospect souhaite être recontacté en 2026, préfère renforcer relations existantes avant nouveaux partenariats. Prochaine relance prévue 02/04.&lt;/p&gt;</t>
  </si>
  <si>
    <t>A relancer</t>
  </si>
  <si>
    <t>Banque privée</t>
  </si>
  <si>
    <t>Boursorama Gestion Privée</t>
  </si>
  <si>
    <t>Jean Bay</t>
  </si>
  <si>
    <t>&lt;p&gt;05/02/2026: Intérêt manifesté pour solutions de diversification, peu de dossiers de remploi, prise de contact à planifier avec Charles. Lead créé pour équipe Ventes. Enrichissement lead impossible (email invalide). Aucune activité ou action future planifiée à ce jour.&lt;/p&gt;</t>
  </si>
  <si>
    <t>Assurance/Mutuelle</t>
  </si>
  <si>
    <t>LINXEA</t>
  </si>
  <si>
    <t>Sébastien RAPHANAUD</t>
  </si>
  <si>
    <t>&lt;p&gt;Florian Demars quitte Linxea, Pierre Guerin reprend le PE. Sébastien transmet infos, pas de nouveau référencement prévu pour 2026, politique Linxea inchangée. Collecte PE faible, passage précomité plutôt KO, attente agrément AMF. Prochaine étape&amp;nbsp;: suivi, relance possible Pierre Guerin. Pas d'ouverture sur nouveaux fonds.&lt;/p&gt;</t>
  </si>
  <si>
    <t>Tenir informé</t>
  </si>
  <si>
    <t>Conseil</t>
  </si>
  <si>
    <t>Groupe Forward Finance</t>
  </si>
  <si>
    <t>Alban De Follin</t>
  </si>
  <si>
    <t>&lt;p&gt;Nouvelle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t>
  </si>
  <si>
    <t>Single Family Office</t>
  </si>
  <si>
    <t>CAMPOY-HENEAUX LTD</t>
  </si>
  <si>
    <t>Thierry Campoy Heneaux</t>
  </si>
  <si>
    <t>&lt;p&gt;RDV physique 20 mars : prospect Thierry Campoy Heneaux, FO à l’anglaise, focus Immo, Champagne, MedTech, Pharmacie. Pas d’intérêt pour fonds de venture, offre jugée inadaptée. Conclusion : à relancer en 2027. Pas de co-invest VC, préférence direct ou Straton, AUDACIA non. Pas d’autres actions prévues.&lt;/p&gt;</t>
  </si>
  <si>
    <t>Offre inadaptée / A relancer l'année prochaine 2027</t>
  </si>
  <si>
    <t>MAGNACARTA</t>
  </si>
  <si>
    <t>Corinne Vigouroux</t>
  </si>
  <si>
    <t>&lt;p&gt;Call 12/03 avec Corinne Vigouroux, présentation offre FCPi avec Gérant. Mail envoyé pour proposer dates de suivi en avril. Pas de retour prospect sur l'offre pour l'instant, attente de réponse pour fixer prochain RDV. Aucune autre activité ou retour mentionné à ce stade.&lt;/p&gt;</t>
  </si>
  <si>
    <t>Call le 12 mars avec Corinne Vigouroux pour présenter offre FCPi avec Gérant, mail pour proposer dates en avril</t>
  </si>
  <si>
    <t>OLIFAN GROUP</t>
  </si>
  <si>
    <t>Nicolas BOUTRY</t>
  </si>
  <si>
    <t>&lt;p&gt;Appel relance Teams avec gérant FCPI le 30/03, échange noté, pas de retour détaillé du prospect sur les fonds. Nouvelle piste créée pour équipe Ventes le 13/03. Prochaine étape : suivi relance avec gérant FCPI. Pas d'autres actions ou retours prospect mentionnés.&lt;/p&gt;</t>
  </si>
  <si>
    <t>AURIS GESTION PRIVEE</t>
  </si>
  <si>
    <t>Michel Hollander</t>
  </si>
  <si>
    <t>&lt;p&gt;Appel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t>
  </si>
  <si>
    <t>Bred Banque Privée</t>
  </si>
  <si>
    <t>Caroline Thiebaud</t>
  </si>
  <si>
    <t>&lt;p&gt;Relance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t>
  </si>
  <si>
    <t>Caisse Régionale du Crédit Agricole Brie-Picardie</t>
  </si>
  <si>
    <t>Benjamin GREBET</t>
  </si>
  <si>
    <t>&lt;p&gt;Aucune activité ni échange significatif enregistré sur cette opportunité à ce jour. Nouvelle piste créée pour l'équipe Ventes par Romain Andrieu, aucune action de suivi ou interaction supplémentaire identifiée. Pas d'étape ou de conclusion prospect mentionnée dans les données disponibles.&lt;/p&gt;</t>
  </si>
  <si>
    <t>BPCE SA</t>
  </si>
  <si>
    <t>Pinot</t>
  </si>
  <si>
    <t>&lt;p&gt;RDV physique terminé, Madame Pinot a répondu à Cedric James, refus du référencement. Relance prévue en 2027 pour Patricia Pinot concernant le référencement. Pas d'autres actions prévues à court terme. Objectif futur&amp;nbsp;: pousser le référencement et travailler l'offre transgénérationnelle.&lt;/p&gt;</t>
  </si>
  <si>
    <t>relancer Patricia Pinot pour le référencemen</t>
  </si>
  <si>
    <t>Mort / Plus rien à faire</t>
  </si>
  <si>
    <t>CAP-DEV - Audacia Capital Innovation, IMMOBILIER - Mobilisation</t>
  </si>
  <si>
    <t>SELENCIA AGEAS</t>
  </si>
  <si>
    <t>Olivier Samain</t>
  </si>
  <si>
    <t>&lt;p&gt;RDV physique 17 mars avec Oliver Samain : échanges sur FCPI/FPCI, valorisation, liquidité, contraintes assurance vie, intérêt deeptech, référencement CGP/assureurs. Conclusion prospect : prendre un café pour approfondir. Prochaine étape : caler café revue marché/avis avec Olivier Samain (avant 26 mars).&lt;/p&gt;</t>
  </si>
  <si>
    <t>caler un café pour revue de marché/avis avec Olivier Samain</t>
  </si>
  <si>
    <t>Jérémie Lepissier</t>
  </si>
  <si>
    <t>&lt;p&gt;24/02/2026 : échange avec HNWI ex-cofondateur Matis SDG, exit 1,5M€, café à côté de Bourrienne. Intérêt possible pour FCPI 30K€, autres tickets jugés trop élevés. Dernier contact 06/03/2026 : KO, prospect se concentre sur achat appartement. Prochaine action : prise de news prévue 04/01/2027.&lt;/p&gt;</t>
  </si>
  <si>
    <t>Prise de news</t>
  </si>
  <si>
    <t>REVOLUT</t>
  </si>
  <si>
    <t>Hugo Bodilis</t>
  </si>
  <si>
    <t>&lt;p&gt;Aucune activité ni échange significatif relevé à ce jour sur cette opportunité. Seule information : piste créée pour l'équipe Ventes. Aucun suivi, action ou retour prospect enregistré. Pas de prochaines étapes identifiées ni de conclusion sur les fonds présentés.&lt;/p&gt;</t>
  </si>
  <si>
    <t>Rdv en cours avec Jing Xie / Privaet Market</t>
  </si>
  <si>
    <t>Nils Rouable</t>
  </si>
  <si>
    <t>&lt;p&gt;Prospect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prospect.&lt;/p&gt;</t>
  </si>
  <si>
    <t>Probablement mort</t>
  </si>
  <si>
    <t>David Martinon</t>
  </si>
  <si>
    <t>&lt;p&gt;Piste créée pour équipe Ventes (16/03), origine CB (23/03). Relance mail envoyée par Edouard Gaurier pour organiser un échange téléphonique (27/03). Pas de retour ou d'action complémentaire du prospect à ce jour. Prochaine étape : attendre réponse pour fixer RDV téléphonique.&lt;/p&gt;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</si>
</sst>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0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4">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49" fillId="0" fontId="3" borderId="0" applyAlignment="1">
      <alignment vertical="center" wrapText="1"/>
    </xf>
    <xf numFmtId="49" fillId="0" fontId="3" borderId="0" applyAlignment="1">
      <alignment vertical="center" horizontal="center"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34.18" customWidth="1" hidden="0"/>
    <col min="2" max="2" width="15.16" customWidth="1" hidden="0"/>
    <col min="3" max="3" width="26.88" customWidth="1" hidden="0"/>
    <col min="4" max="4" width="15.87" customWidth="1" hidden="0"/>
    <col min="5" max="5" width="14.87" customWidth="1" hidden="0"/>
    <col min="6" max="6" width="61.92" customWidth="1" hidden="1"/>
    <col min="7" max="7" width="61.92" customWidth="1" hidden="1"/>
    <col min="8" max="8" width="61.92" customWidth="1" hidden="1"/>
    <col min="9" max="9" width="61.92" customWidth="1" hidden="0"/>
    <col min="10" max="10" width="47.33" customWidth="1" hidden="1"/>
    <col min="11" max="11" width="22.88" customWidth="1" hidden="1"/>
    <col min="12" max="12" width="11.15" customWidth="1" hidden="0"/>
    <col min="13" max="13" width="22.88" customWidth="1" hidden="1"/>
    <col min="14" max="14" width="13.16" customWidth="1" hidden="0"/>
    <col min="15" max="15" width="25.17" customWidth="1" hidden="1"/>
    <col min="16" max="16" width="15.59" customWidth="1" hidden="0"/>
    <col min="17" max="17" width="15.01" customWidth="1" hidden="1"/>
    <col min="18" max="18" width="15.01" customWidth="1" hidden="0"/>
    <col min="19" max="19" width="33.18" customWidth="1" hidden="1"/>
    <col min="20" max="20" width="11.3" customWidth="1" hidden="0"/>
    <col min="21" max="21" width="11.3"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35.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c r="AK1" s="4">
</c>
    </row>
    <row r="2" ht="35.25" customHeight="1">
      <c r="A2" s="5">
</c>
      <c r="B2" s="6">
</c>
      <c r="C2" s="6" cm="1" t="n">
        <f t="array" ref="C2">SUBTOTAL(9,V4:V102)</f>
        <v>31</v>
      </c>
      <c r="D2" s="5">
</c>
      <c r="E2" s="5">
</c>
      <c r="F2" s="5">
</c>
      <c r="G2" s="5">
</c>
      <c r="H2" s="5">
</c>
      <c r="I2" s="5">
</c>
      <c r="J2" s="5">
</c>
      <c r="K2" s="5">
</c>
      <c r="L2" s="5">
</c>
      <c r="M2" s="5">
</c>
      <c r="N2" s="5">
</c>
      <c r="O2" s="5">
</c>
      <c r="P2" s="5">
</c>
      <c r="Q2" s="7" cm="1" t="n">
        <f t="array" ref="Q2">SUBTOTAL(9,Q4:Q202)</f>
        <v>105000</v>
      </c>
      <c r="R2" s="7" cm="1" t="str">
        <f t="array" ref="R2">ROUND(Q2/1000000,3)&amp;" M€"</f>
        <v>0.105 M€</v>
      </c>
      <c r="S2" s="5">
</c>
      <c r="T2" s="5">
</c>
      <c r="U2" s="5">
</c>
      <c r="V2" s="5">
</c>
      <c r="W2" s="5">
</c>
      <c r="X2" s="5">
</c>
      <c r="Y2" s="5">
</c>
      <c r="Z2" s="5">
</c>
      <c r="AA2" s="5">
</c>
      <c r="AB2" s="5">
</c>
      <c r="AC2" s="5">
</c>
      <c r="AD2" s="5">
</c>
      <c r="AE2" s="5">
</c>
      <c r="AF2" s="5">
</c>
      <c r="AG2" s="5">
</c>
      <c r="AH2" s="5">
</c>
      <c r="AI2" s="5">
</c>
      <c r="AJ2" s="5">
</c>
      <c r="AK2" s="5">
</c>
    </row>
    <row r="3" ht="35.2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c r="AK3" s="4">
</c>
    </row>
    <row r="4" ht="65.25" customHeight="1">
      <c r="A4" s="6" t="s">
        <v>23</v>
      </c>
      <c r="B4" s="6" t="s">
        <v>24</v>
      </c>
      <c r="C4" s="8" t="s">
        <v>25</v>
      </c>
      <c r="D4" s="9" t="s">
        <v>26</v>
      </c>
      <c r="E4" s="6" t="s">
        <v>27</v>
      </c>
      <c r="F4" s="6" t="s">
        <v>28</v>
      </c>
      <c r="G4" s="6" cm="1" t="str">
        <f t="array" ref="G4">IF(F4="","",SUBSTITUTE(SUBSTITUTE(SUBSTITUTE(SUBSTITUTE(F4,"&lt;li&gt;",CHAR(10)),"&lt;/li&gt;",""),"&lt;br&gt;",CHAR(10)),"&lt;strong&gt;",""))</f>
        <v>&lt;p&gt;Appel entrant 08/12 : demande infos FCPI, présentation Audacia, envoi Deck + convention vierge. 10/12 : convention signée. Aucun retour prospect sur fonds présenté. Pas d'autres actions ou prochaines étapes mentionnées. Pas d'activité récente hors échanges FCPI.&lt;/p&gt;</v>
      </c>
      <c r="H4" s="6" cm="1" t="str">
        <f t="array" ref="H4">IF(G4="","",SUBSTITUTE(SUBSTITUTE(SUBSTITUTE(SUBSTITUTE(SUBSTITUTE(G4,"&lt;p&gt;",""),"&lt;/p&gt;",""),"&lt;ul&gt;",""),"&lt;/ul&gt;",""),"&lt;/strong&gt;",""))</f>
        <v>Appel entrant 08/12 : demande infos FCPI, présentation Audacia, envoi Deck + convention vierge. 10/12 : convention signée. Aucun retour prospect sur fonds présenté. Pas d'autres actions ou prochaines étapes mentionnées. Pas d'activité récente hors échanges FCPI.</v>
      </c>
      <c r="I4" s="10" cm="1" t="str">
        <f t="array" ref="I4">IF(C4="","",IF(OR(H4="",H4=0,H4=FALSE),"-",H4))</f>
        <v>Appel entrant 08/12 : demande infos FCPI, présentation Audacia, envoi Deck + convention vierge. 10/12 : convention signée. Aucun retour prospect sur fonds présenté. Pas d'autres actions ou prochaines étapes mentionnées. Pas d'activité récente hors échanges FCPI.</v>
      </c>
      <c r="J4" s="6">
</c>
      <c r="K4" s="6" t="s">
        <v>29</v>
      </c>
      <c r="L4" s="6" cm="1" t="str">
        <f t="array" ref="L4">IF(C4="","",IF(K4="Mort / Plus rien à faire","KO","OK"))</f>
        <v>OK</v>
      </c>
      <c r="M4" s="11">
        <v>46001.70579861111</v>
      </c>
      <c r="N4" s="11" cm="1" t="n">
        <f t="array" ref="N4">IF(OR(C4="",M4="",M4=0),"",M4)</f>
        <v>46001.70579861111</v>
      </c>
      <c r="O4" s="11">
</c>
      <c r="P4" s="11" cm="1" t="str">
        <f t="array" ref="P4">IF(C4="","",IF(OR(O4="",O4=0),"-",O4))</f>
        <v>-</v>
      </c>
      <c r="Q4" s="12">
        <v>0</v>
      </c>
      <c r="R4" s="6" cm="1" t="str">
        <f t="array" ref="R4">IF(C4="","",ROUND(Q4/1000000,3)&amp;" M€")</f>
        <v>0 M€</v>
      </c>
      <c r="S4" s="13">
        <v>100</v>
      </c>
      <c r="T4" s="6" cm="1" t="str">
        <f t="array" ref="T4">IF(C4="","",SUBSTITUTE(S4,"","")&amp;"%")</f>
        <v>100%</v>
      </c>
      <c r="U4" s="10"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c r="AK4" s="5">
</c>
    </row>
    <row r="5" ht="65.25" customHeight="1">
      <c r="A5" s="6" t="s">
        <v>23</v>
      </c>
      <c r="B5" s="6" t="s">
        <v>24</v>
      </c>
      <c r="C5" s="8" t="s">
        <v>30</v>
      </c>
      <c r="D5" s="9" t="s">
        <v>31</v>
      </c>
      <c r="E5" s="6" t="s">
        <v>27</v>
      </c>
      <c r="F5" s="6" t="s">
        <v>32</v>
      </c>
      <c r="G5" s="6" cm="1" t="str">
        <f t="array" ref="G5">IF(F5="","",SUBSTITUTE(SUBSTITUTE(SUBSTITUTE(SUBSTITUTE(F5,"&lt;li&gt;",CHAR(10)),"&lt;/li&gt;",""),"&lt;br&gt;",CHAR(10)),"&lt;strong&gt;",""))</f>
        <v>&lt;p&gt;Appel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récentes.&lt;/p&gt;</v>
      </c>
      <c r="H5" s="6" cm="1" t="str">
        <f t="array" ref="H5">IF(G5="","",SUBSTITUTE(SUBSTITUTE(SUBSTITUTE(SUBSTITUTE(SUBSTITUTE(G5,"&lt;p&gt;",""),"&lt;/p&gt;",""),"&lt;ul&gt;",""),"&lt;/ul&gt;",""),"&lt;/strong&gt;",""))</f>
        <v>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v>
      </c>
      <c r="I5" s="10" cm="1" t="str">
        <f t="array" ref="I5">IF(C5="","",IF(OR(H5="",H5=0,H5=FALSE),"-",H5))</f>
        <v>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v>
      </c>
      <c r="J5" s="6">
</c>
      <c r="K5" s="6" t="s">
        <v>29</v>
      </c>
      <c r="L5" s="6" cm="1" t="str">
        <f t="array" ref="L5">IF(C5="","",IF(K5="Mort / Plus rien à faire","KO","OK"))</f>
        <v>OK</v>
      </c>
      <c r="M5" s="11">
        <v>46016.710023148145</v>
      </c>
      <c r="N5" s="11" cm="1" t="n">
        <f t="array" ref="N5">IF(OR(C5="",M5="",M5=0),"",M5)</f>
        <v>46016.710023148145</v>
      </c>
      <c r="O5" s="11">
</c>
      <c r="P5" s="11" cm="1" t="str">
        <f t="array" ref="P5">IF(C5="","",IF(OR(O5="",O5=0),"-",O5))</f>
        <v>-</v>
      </c>
      <c r="Q5" s="12">
        <v>0</v>
      </c>
      <c r="R5" s="6" cm="1" t="str">
        <f t="array" ref="R5">IF(C5="","",ROUND(Q5/1000000,3)&amp;" M€")</f>
        <v>0 M€</v>
      </c>
      <c r="S5" s="13">
        <v>100</v>
      </c>
      <c r="T5" s="6" cm="1" t="str">
        <f t="array" ref="T5">IF(C5="","",SUBSTITUTE(S5,"","")&amp;"%")</f>
        <v>100%</v>
      </c>
      <c r="U5" s="10" cm="1" t="str">
        <f t="array" ref="U5">IF(($N5="")*($P5=""),"",IF(($N5&lt;&gt;"")*($N5&gt;TODAY()-9)*($N5&lt;TODAY()+1)*($P5&lt;&gt;"")*($P5&gt;=TODAY())*($P5&lt;=TODAY()+13),"Semaine passée &amp; à venir",IF(($N5&lt;&gt;"")*($N5&gt;TODAY()-9)*($N5&lt;TODAY()+1),"Semaine passée",IF(($P5&lt;&gt;"")*($P5&gt;=TODAY())*($P5&lt;=TODAY()+13),"À venir","Autre"))))</f>
        <v>Autre</v>
      </c>
      <c r="V5" s="5" cm="1" t="n">
        <f t="array" ref="V5">IF(C5&lt;&gt;"",1,0)</f>
        <v>1</v>
      </c>
      <c r="W5" s="5">
</c>
      <c r="X5" s="5">
</c>
      <c r="Y5" s="5">
</c>
      <c r="Z5" s="10">
</c>
      <c r="AA5" s="5">
</c>
      <c r="AB5" s="5">
</c>
      <c r="AC5" s="5">
</c>
      <c r="AD5" s="5">
</c>
      <c r="AE5" s="5">
</c>
      <c r="AF5" s="5">
</c>
      <c r="AG5" s="5">
</c>
      <c r="AH5" s="5">
</c>
      <c r="AI5" s="5">
</c>
      <c r="AJ5" s="5">
</c>
      <c r="AK5" s="5">
</c>
    </row>
    <row r="6" ht="65.25" customHeight="1">
      <c r="A6" s="6" t="s">
        <v>23</v>
      </c>
      <c r="B6" s="6" t="s">
        <v>33</v>
      </c>
      <c r="C6" s="8" t="s">
        <v>34</v>
      </c>
      <c r="D6" s="9" t="s">
        <v>34</v>
      </c>
      <c r="E6" s="6" t="s">
        <v>35</v>
      </c>
      <c r="F6" s="6" t="s">
        <v>36</v>
      </c>
      <c r="G6" s="6" cm="1" t="str">
        <f t="array" ref="G6">IF(F6="","",SUBSTITUTE(SUBSTITUTE(SUBSTITUTE(SUBSTITUTE(F6,"&lt;li&gt;",CHAR(10)),"&lt;/li&gt;",""),"&lt;br&gt;",CHAR(10)),"&lt;strong&gt;",""))</f>
        <v>&lt;p&gt;Aucune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v>
      </c>
      <c r="H6" s="6" cm="1" t="str">
        <f t="array" ref="H6">IF(G6="","",SUBSTITUTE(SUBSTITUTE(SUBSTITUTE(SUBSTITUTE(SUBSTITUTE(G6,"&lt;p&gt;",""),"&lt;/p&gt;",""),"&lt;ul&gt;",""),"&lt;/ul&gt;",""),"&lt;/strong&gt;",""))</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I6" s="10" cm="1" t="str">
        <f t="array" ref="I6">IF(C6="","",IF(OR(H6="",H6=0,H6=FALSE),"-",H6))</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J6" s="6">
</c>
      <c r="K6" s="6" t="s">
        <v>29</v>
      </c>
      <c r="L6" s="6" cm="1" t="str">
        <f t="array" ref="L6">IF(C6="","",IF(K6="Mort / Plus rien à faire","KO","OK"))</f>
        <v>OK</v>
      </c>
      <c r="M6" s="11">
        <v>46063.50226851852</v>
      </c>
      <c r="N6" s="11" cm="1" t="n">
        <f t="array" ref="N6">IF(OR(C6="",M6="",M6=0),"",M6)</f>
        <v>46063.50226851852</v>
      </c>
      <c r="O6" s="11">
</c>
      <c r="P6" s="11" cm="1" t="str">
        <f t="array" ref="P6">IF(C6="","",IF(OR(O6="",O6=0),"-",O6))</f>
        <v>-</v>
      </c>
      <c r="Q6" s="12">
        <v>5000</v>
      </c>
      <c r="R6" s="6" cm="1" t="str">
        <f t="array" ref="R6">IF(C6="","",ROUND(Q6/1000000,3)&amp;" M€")</f>
        <v>0.005 M€</v>
      </c>
      <c r="S6" s="13">
        <v>100</v>
      </c>
      <c r="T6" s="6" cm="1" t="str">
        <f t="array" ref="T6">IF(C6="","",SUBSTITUTE(S6,"","")&amp;"%")</f>
        <v>100%</v>
      </c>
      <c r="U6" s="10" cm="1" t="str">
        <f t="array" ref="U6">IF(($N6="")*($P6=""),"",IF(($N6&lt;&gt;"")*($N6&gt;TODAY()-9)*($N6&lt;TODAY()+1)*($P6&lt;&gt;"")*($P6&gt;=TODAY())*($P6&lt;=TODAY()+13),"Semaine passée &amp; à venir",IF(($N6&lt;&gt;"")*($N6&gt;TODAY()-9)*($N6&lt;TODAY()+1),"Semaine passée",IF(($P6&lt;&gt;"")*($P6&gt;=TODAY())*($P6&lt;=TODAY()+13),"À venir","Autre"))))</f>
        <v>Autre</v>
      </c>
      <c r="V6" s="5" cm="1" t="n">
        <f t="array" ref="V6">IF(C6&lt;&gt;"",1,0)</f>
        <v>1</v>
      </c>
      <c r="W6" s="5">
</c>
      <c r="X6" s="5">
</c>
      <c r="Y6" s="5">
</c>
      <c r="Z6" s="5">
</c>
      <c r="AA6" s="5">
</c>
      <c r="AB6" s="5">
</c>
      <c r="AC6" s="5">
</c>
      <c r="AD6" s="5">
</c>
      <c r="AE6" s="5">
</c>
      <c r="AF6" s="5">
</c>
      <c r="AG6" s="5">
</c>
      <c r="AH6" s="5">
</c>
      <c r="AI6" s="5">
</c>
      <c r="AJ6" s="5">
</c>
      <c r="AK6" s="5">
</c>
    </row>
    <row r="7" ht="65.25" customHeight="1">
      <c r="A7" s="6" t="s">
        <v>23</v>
      </c>
      <c r="B7" s="6" t="s">
        <v>24</v>
      </c>
      <c r="C7" s="8" t="s">
        <v>37</v>
      </c>
      <c r="D7" s="9" t="s">
        <v>38</v>
      </c>
      <c r="E7" s="6" t="s">
        <v>27</v>
      </c>
      <c r="F7" s="6" t="s">
        <v>39</v>
      </c>
      <c r="G7" s="6" cm="1" t="str">
        <f t="array" ref="G7">IF(F7="","",SUBSTITUTE(SUBSTITUTE(SUBSTITUTE(SUBSTITUTE(F7,"&lt;li&gt;",CHAR(10)),"&lt;/li&gt;",""),"&lt;br&gt;",CHAR(10)),"&lt;strong&gt;",""))</f>
        <v>&lt;p&gt;RDV 24/03 : présentation Audacia/FCPI, prospect intéressé pour proposer FCPI à ses clients (campagne mail possible, tickets 5-20k), déjà signé convention distribution. Attente envoi présentation FCPI, modèle mail, RDV avec Cédric. Intérêt aussi pour FCPR Défense. Relances et échanges réguliers.&lt;/p&gt;</v>
      </c>
      <c r="H7" s="6" cm="1" t="str">
        <f t="array" ref="H7">IF(G7="","",SUBSTITUTE(SUBSTITUTE(SUBSTITUTE(SUBSTITUTE(SUBSTITUTE(G7,"&lt;p&gt;",""),"&lt;/p&gt;",""),"&lt;ul&gt;",""),"&lt;/ul&gt;",""),"&lt;/strong&gt;",""))</f>
        <v>RDV 24/03 : présentation Audacia/FCPI, prospect intéressé pour proposer FCPI à ses clients (campagne mail possible, tickets 5-20k), déjà signé convention distribution. Attente envoi présentation FCPI, modèle mail, RDV avec Cédric. Intérêt aussi pour FCPR Défense. Relances et échanges réguliers.</v>
      </c>
      <c r="I7" s="10" cm="1" t="str">
        <f t="array" ref="I7">IF(C7="","",IF(OR(H7="",H7=0,H7=FALSE),"-",H7))</f>
        <v>RDV 24/03 : présentation Audacia/FCPI, prospect intéressé pour proposer FCPI à ses clients (campagne mail possible, tickets 5-20k), déjà signé convention distribution. Attente envoi présentation FCPI, modèle mail, RDV avec Cédric. Intérêt aussi pour FCPR Défense. Relances et échanges réguliers.</v>
      </c>
      <c r="J7" s="6" t="s">
        <v>40</v>
      </c>
      <c r="K7" s="6" t="s">
        <v>41</v>
      </c>
      <c r="L7" s="6" cm="1" t="str">
        <f t="array" ref="L7">IF(C7="","",IF(K7="Mort / Plus rien à faire","KO","OK"))</f>
        <v>OK</v>
      </c>
      <c r="M7" s="11">
        <v>46107.64356481482</v>
      </c>
      <c r="N7" s="11" cm="1" t="n">
        <f t="array" ref="N7">IF(OR(C7="",M7="",M7=0),"",M7)</f>
        <v>46107.64356481482</v>
      </c>
      <c r="O7" s="11">
        <v>46125.041666666664</v>
      </c>
      <c r="P7" s="11" cm="1" t="n">
        <f t="array" ref="P7">IF(C7="","",IF(OR(O7="",O7=0),"-",O7))</f>
        <v>46125.041666666664</v>
      </c>
      <c r="Q7" s="12">
        <v>0</v>
      </c>
      <c r="R7" s="6" cm="1" t="str">
        <f t="array" ref="R7">IF(C7="","",ROUND(Q7/1000000,3)&amp;" M€")</f>
        <v>0 M€</v>
      </c>
      <c r="S7" s="13">
        <v>50</v>
      </c>
      <c r="T7" s="6" cm="1" t="str">
        <f t="array" ref="T7">IF(C7="","",SUBSTITUTE(S7,"","")&amp;"%")</f>
        <v>50%</v>
      </c>
      <c r="U7" s="10" cm="1" t="str">
        <f t="array" ref="U7">IF(($N7="")*($P7=""),"",IF(($N7&lt;&gt;"")*($N7&gt;TODAY()-9)*($N7&lt;TODAY()+1)*($P7&lt;&gt;"")*($P7&gt;=TODAY())*($P7&lt;=TODAY()+13),"Semaine passée &amp; à venir",IF(($N7&lt;&gt;"")*($N7&gt;TODAY()-9)*($N7&lt;TODAY()+1),"Semaine passée",IF(($P7&lt;&gt;"")*($P7&gt;=TODAY())*($P7&lt;=TODAY()+13),"À venir","Autre"))))</f>
        <v>Semaine passée &amp; à venir</v>
      </c>
      <c r="V7" s="5" cm="1" t="n">
        <f t="array" ref="V7">IF(C7&lt;&gt;"",1,0)</f>
        <v>1</v>
      </c>
      <c r="W7" s="5">
</c>
      <c r="X7" s="5">
</c>
      <c r="Y7" s="5">
</c>
      <c r="Z7" s="5">
</c>
      <c r="AA7" s="5">
</c>
      <c r="AB7" s="5">
</c>
      <c r="AC7" s="5">
</c>
      <c r="AD7" s="5">
</c>
      <c r="AE7" s="5">
</c>
      <c r="AF7" s="5">
</c>
      <c r="AG7" s="5">
</c>
      <c r="AH7" s="5">
</c>
      <c r="AI7" s="5">
</c>
      <c r="AJ7" s="5">
</c>
      <c r="AK7" s="5">
</c>
    </row>
    <row r="8" ht="65.25" customHeight="1">
      <c r="A8" s="6" t="s">
        <v>23</v>
      </c>
      <c r="B8" s="6">
</c>
      <c r="C8" s="8" t="s">
        <v>33</v>
      </c>
      <c r="D8" s="9" t="s">
        <v>42</v>
      </c>
      <c r="E8" s="6" t="s">
        <v>35</v>
      </c>
      <c r="F8" s="6" t="s">
        <v>43</v>
      </c>
      <c r="G8" s="6" cm="1" t="str">
        <f t="array" ref="G8">IF(F8="","",SUBSTITUTE(SUBSTITUTE(SUBSTITUTE(SUBSTITUTE(F8,"&lt;li&gt;",CHAR(10)),"&lt;/li&gt;",""),"&lt;br&gt;",CHAR(10)),"&lt;strong&gt;",""))</f>
        <v>&lt;p&gt;Piste créée pour équipe Ventes. Mail envoyé pour prévoir échange téléphonique sur le FCPI (30/03/2026). Pas de retour prospect ni d'autres actions ou avis sur le fonds à ce stade. Prochaine étape&amp;nbsp;: organiser l'échange téléphonique sur le FCPI. Aucun autre suivi ou activité notée.&lt;/p&gt;</v>
      </c>
      <c r="H8" s="6" cm="1" t="str">
        <f t="array" ref="H8">IF(G8="","",SUBSTITUTE(SUBSTITUTE(SUBSTITUTE(SUBSTITUTE(SUBSTITUTE(G8,"&lt;p&gt;",""),"&lt;/p&gt;",""),"&lt;ul&gt;",""),"&lt;/ul&gt;",""),"&lt;/strong&gt;",""))</f>
        <v>Piste créée pour équipe Ventes. Mail envoyé pour prévoir échange téléphonique sur le FCPI (30/03/2026). Pas de retour prospect ni d'autres actions ou avis sur le fonds à ce stade. Prochaine étape&amp;nbsp;: organiser l'échange téléphonique sur le FCPI. Aucun autre suivi ou activité notée.</v>
      </c>
      <c r="I8" s="10" cm="1" t="str">
        <f t="array" ref="I8">IF(C8="","",IF(OR(H8="",H8=0,H8=FALSE),"-",H8))</f>
        <v>Piste créée pour équipe Ventes. Mail envoyé pour prévoir échange téléphonique sur le FCPI (30/03/2026). Pas de retour prospect ni d'autres actions ou avis sur le fonds à ce stade. Prochaine étape&amp;nbsp;: organiser l'échange téléphonique sur le FCPI. Aucun autre suivi ou activité notée.</v>
      </c>
      <c r="J8" s="6">
</c>
      <c r="K8" s="6" t="s">
        <v>41</v>
      </c>
      <c r="L8" s="6" cm="1" t="str">
        <f t="array" ref="L8">IF(C8="","",IF(K8="Mort / Plus rien à faire","KO","OK"))</f>
        <v>OK</v>
      </c>
      <c r="M8" s="11">
        <v>46111.70166666667</v>
      </c>
      <c r="N8" s="11" cm="1" t="n">
        <f t="array" ref="N8">IF(OR(C8="",M8="",M8=0),"",M8)</f>
        <v>46111.70166666667</v>
      </c>
      <c r="O8" s="11">
</c>
      <c r="P8" s="11" cm="1" t="str">
        <f t="array" ref="P8">IF(C8="","",IF(OR(O8="",O8=0),"-",O8))</f>
        <v>-</v>
      </c>
      <c r="Q8" s="12">
        <v>0</v>
      </c>
      <c r="R8" s="6" cm="1" t="str">
        <f t="array" ref="R8">IF(C8="","",ROUND(Q8/1000000,3)&amp;" M€")</f>
        <v>0 M€</v>
      </c>
      <c r="S8" s="13">
        <v>40</v>
      </c>
      <c r="T8" s="6" cm="1" t="str">
        <f t="array" ref="T8">IF(C8="","",SUBSTITUTE(S8,"","")&amp;"%")</f>
        <v>40%</v>
      </c>
      <c r="U8" s="10" cm="1" t="str">
        <f t="array" ref="U8">IF(($N8="")*($P8=""),"",IF(($N8&lt;&gt;"")*($N8&gt;TODAY()-9)*($N8&lt;TODAY()+1)*($P8&lt;&gt;"")*($P8&gt;=TODAY())*($P8&lt;=TODAY()+13),"Semaine passée &amp; à venir",IF(($N8&lt;&gt;"")*($N8&gt;TODAY()-9)*($N8&lt;TODAY()+1),"Semaine passée",IF(($P8&lt;&gt;"")*($P8&gt;=TODAY())*($P8&lt;=TODAY()+13),"À venir","Autre"))))</f>
        <v>Semaine passée</v>
      </c>
      <c r="V8" s="5" cm="1" t="n">
        <f t="array" ref="V8">IF(C8&lt;&gt;"",1,0)</f>
        <v>1</v>
      </c>
      <c r="W8" s="5">
</c>
      <c r="X8" s="5">
</c>
      <c r="Y8" s="5">
</c>
      <c r="Z8" s="5">
</c>
      <c r="AA8" s="5">
</c>
      <c r="AB8" s="5">
</c>
      <c r="AC8" s="5">
</c>
      <c r="AD8" s="5">
</c>
      <c r="AE8" s="5">
</c>
      <c r="AF8" s="5">
</c>
      <c r="AG8" s="5">
</c>
      <c r="AH8" s="5">
</c>
      <c r="AI8" s="5">
</c>
      <c r="AJ8" s="5">
</c>
      <c r="AK8" s="5">
</c>
    </row>
    <row r="9" ht="65.25" customHeight="1">
      <c r="A9" s="6" t="s">
        <v>23</v>
      </c>
      <c r="B9" s="6" t="s">
        <v>33</v>
      </c>
      <c r="C9" s="8" t="s">
        <v>44</v>
      </c>
      <c r="D9" s="9" t="s">
        <v>44</v>
      </c>
      <c r="E9" s="6" t="s">
        <v>45</v>
      </c>
      <c r="F9" s="6" t="s">
        <v>46</v>
      </c>
      <c r="G9" s="6" cm="1" t="str">
        <f t="array" ref="G9">IF(F9="","",SUBSTITUTE(SUBSTITUTE(SUBSTITUTE(SUBSTITUTE(F9,"&lt;li&gt;",CHAR(10)),"&lt;/li&gt;",""),"&lt;br&gt;",CHAR(10)),"&lt;strong&gt;",""))</f>
        <v>&lt;p&gt;Aucune activité menée sur le prospect. Nouvelle piste créée pour l'équipe Ventes, aucun échange, action ou retour enregistré à ce jour. Pas d'informations sur le contexte de création ni d'avis ou de conclusions de la part du prospect. Prochaines étapes non définies.&lt;/p&gt;</v>
      </c>
      <c r="H9" s="6" cm="1" t="str">
        <f t="array" ref="H9">IF(G9="","",SUBSTITUTE(SUBSTITUTE(SUBSTITUTE(SUBSTITUTE(SUBSTITUTE(G9,"&lt;p&gt;",""),"&lt;/p&gt;",""),"&lt;ul&gt;",""),"&lt;/ul&gt;",""),"&lt;/strong&gt;",""))</f>
        <v>Aucune activité menée sur le prospect. Nouvelle piste créée pour l'équipe Ventes, aucun échange, action ou retour enregistré à ce jour. Pas d'informations sur le contexte de création ni d'avis ou de conclusions de la part du prospect. Prochaines étapes non définies.</v>
      </c>
      <c r="I9" s="10" cm="1" t="str">
        <f t="array" ref="I9">IF(C9="","",IF(OR(H9="",H9=0,H9=FALSE),"-",H9))</f>
        <v>Aucune activité menée sur le prospect. Nouvelle piste créée pour l'équipe Ventes, aucun échange, action ou retour enregistré à ce jour. Pas d'informations sur le contexte de création ni d'avis ou de conclusions de la part du prospect. Prochaines étapes non définies.</v>
      </c>
      <c r="J9" s="6">
</c>
      <c r="K9" s="6" t="s">
        <v>41</v>
      </c>
      <c r="L9" s="6" cm="1" t="str">
        <f t="array" ref="L9">IF(C9="","",IF(K9="Mort / Plus rien à faire","KO","OK"))</f>
        <v>OK</v>
      </c>
      <c r="M9" s="11">
        <v>46083.45866898148</v>
      </c>
      <c r="N9" s="11" cm="1" t="n">
        <f t="array" ref="N9">IF(OR(C9="",M9="",M9=0),"",M9)</f>
        <v>46083.45866898148</v>
      </c>
      <c r="O9" s="11">
</c>
      <c r="P9" s="11" cm="1" t="str">
        <f t="array" ref="P9">IF(C9="","",IF(OR(O9="",O9=0),"-",O9))</f>
        <v>-</v>
      </c>
      <c r="Q9" s="12">
        <v>0</v>
      </c>
      <c r="R9" s="6" cm="1" t="str">
        <f t="array" ref="R9">IF(C9="","",ROUND(Q9/1000000,3)&amp;" M€")</f>
        <v>0 M€</v>
      </c>
      <c r="S9" s="13">
        <v>30</v>
      </c>
      <c r="T9" s="6" cm="1" t="str">
        <f t="array" ref="T9">IF(C9="","",SUBSTITUTE(S9,"","")&amp;"%")</f>
        <v>30%</v>
      </c>
      <c r="U9" s="10"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c r="AK9" s="5">
</c>
    </row>
    <row r="10" ht="65.25" customHeight="1">
      <c r="A10" s="6" t="s">
        <v>23</v>
      </c>
      <c r="B10" s="6" t="s">
        <v>47</v>
      </c>
      <c r="C10" s="8" t="s">
        <v>48</v>
      </c>
      <c r="D10" s="9" t="s">
        <v>49</v>
      </c>
      <c r="E10" s="6" t="s">
        <v>50</v>
      </c>
      <c r="F10" s="6" t="s">
        <v>51</v>
      </c>
      <c r="G10" s="6" cm="1" t="str">
        <f t="array" ref="G10">IF(F10="","",SUBSTITUTE(SUBSTITUTE(SUBSTITUTE(SUBSTITUTE(F10,"&lt;li&gt;",CHAR(10)),"&lt;/li&gt;",""),"&lt;br&gt;",CHAR(10)),"&lt;strong&gt;",""))</f>
        <v>&lt;p&gt;Nouvelle piste créée pour équipe Ventes. Prévu : réunion de présentation, mais reportée à une date ultérieure. Dernière activité le 17/03, pas d'autres échanges ou retours du prospect. Prochaine étape : replanifier la réunion, pas de feedback prospect à ce stade.&lt;/p&gt;</v>
      </c>
      <c r="H10" s="6" cm="1" t="str">
        <f t="array" ref="H10">IF(G10="","",SUBSTITUTE(SUBSTITUTE(SUBSTITUTE(SUBSTITUTE(SUBSTITUTE(G10,"&lt;p&gt;",""),"&lt;/p&gt;",""),"&lt;ul&gt;",""),"&lt;/ul&gt;",""),"&lt;/strong&gt;",""))</f>
        <v>Nouvelle piste créée pour équipe Ventes. Prévu : réunion de présentation, mais reportée à une date ultérieure. Dernière activité le 17/03, pas d'autres échanges ou retours du prospect. Prochaine étape : replanifier la réunion, pas de feedback prospect à ce stade.</v>
      </c>
      <c r="I10" s="10" cm="1" t="str">
        <f t="array" ref="I10">IF(C10="","",IF(OR(H10="",H10=0,H10=FALSE),"-",H10))</f>
        <v>Nouvelle piste créée pour équipe Ventes. Prévu : réunion de présentation, mais reportée à une date ultérieure. Dernière activité le 17/03, pas d'autres échanges ou retours du prospect. Prochaine étape : replanifier la réunion, pas de feedback prospect à ce stade.</v>
      </c>
      <c r="J10" s="6" t="s">
        <v>52</v>
      </c>
      <c r="K10" s="6" t="s">
        <v>53</v>
      </c>
      <c r="L10" s="6" cm="1" t="str">
        <f t="array" ref="L10">IF(C10="","",IF(K10="Mort / Plus rien à faire","KO","OK"))</f>
        <v>OK</v>
      </c>
      <c r="M10" s="11">
        <v>46094.76212962963</v>
      </c>
      <c r="N10" s="11" cm="1" t="n">
        <f t="array" ref="N10">IF(OR(C10="",M10="",M10=0),"",M10)</f>
        <v>46094.76212962963</v>
      </c>
      <c r="O10" s="11">
</c>
      <c r="P10" s="11" cm="1" t="str">
        <f t="array" ref="P10">IF(C10="","",IF(OR(O10="",O10=0),"-",O10))</f>
        <v>-</v>
      </c>
      <c r="Q10" s="12">
        <v>0</v>
      </c>
      <c r="R10" s="6" cm="1" t="str">
        <f t="array" ref="R10">IF(C10="","",ROUND(Q10/1000000,3)&amp;" M€")</f>
        <v>0 M€</v>
      </c>
      <c r="S10" s="13">
        <v>30</v>
      </c>
      <c r="T10" s="6" cm="1" t="str">
        <f t="array" ref="T10">IF(C10="","",SUBSTITUTE(S10,"","")&amp;"%")</f>
        <v>30%</v>
      </c>
      <c r="U10" s="10" cm="1" t="str">
        <f t="array" ref="U10">IF(($N10="")*($P10=""),"",IF(($N10&lt;&gt;"")*($N10&gt;TODAY()-9)*($N10&lt;TODAY()+1)*($P10&lt;&gt;"")*($P10&gt;=TODAY())*($P10&lt;=TODAY()+13),"Semaine passée &amp; à venir",IF(($N10&lt;&gt;"")*($N10&gt;TODAY()-9)*($N10&lt;TODAY()+1),"Semaine passée",IF(($P10&lt;&gt;"")*($P10&gt;=TODAY())*($P10&lt;=TODAY()+13),"À venir","Autre"))))</f>
        <v>Autre</v>
      </c>
      <c r="V10" s="5" cm="1" t="n">
        <f t="array" ref="V10">IF(C10&lt;&gt;"",1,0)</f>
        <v>1</v>
      </c>
      <c r="W10" s="5">
</c>
      <c r="X10" s="5">
</c>
      <c r="Y10" s="5">
</c>
      <c r="Z10" s="5">
</c>
      <c r="AA10" s="5">
</c>
      <c r="AB10" s="5">
</c>
      <c r="AC10" s="5">
</c>
      <c r="AD10" s="5">
</c>
      <c r="AE10" s="5">
</c>
      <c r="AF10" s="5">
</c>
      <c r="AG10" s="5">
</c>
      <c r="AH10" s="5">
</c>
      <c r="AI10" s="5">
</c>
      <c r="AJ10" s="5">
</c>
      <c r="AK10" s="5">
</c>
    </row>
    <row r="11" ht="65.25" customHeight="1">
      <c r="A11" s="6" t="s">
        <v>23</v>
      </c>
      <c r="B11" s="6" t="s">
        <v>24</v>
      </c>
      <c r="C11" s="8" t="s">
        <v>54</v>
      </c>
      <c r="D11" s="9" t="s">
        <v>55</v>
      </c>
      <c r="E11" s="6" t="s">
        <v>27</v>
      </c>
      <c r="F11" s="6" t="s">
        <v>56</v>
      </c>
      <c r="G11" s="6" cm="1" t="str">
        <f t="array" ref="G11">IF(F11="","",SUBSTITUTE(SUBSTITUTE(SUBSTITUTE(SUBSTITUTE(F11,"&lt;li&gt;",CHAR(10)),"&lt;/li&gt;",""),"&lt;br&gt;",CHAR(10)),"&lt;strong&gt;",""))</f>
        <v>&lt;p&gt;Cold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septembre.&lt;/p&gt;</v>
      </c>
      <c r="H11" s="6" cm="1" t="str">
        <f t="array" ref="H11">IF(G11="","",SUBSTITUTE(SUBSTITUTE(SUBSTITUTE(SUBSTITUTE(SUBSTITUTE(G11,"&lt;p&gt;",""),"&lt;/p&gt;",""),"&lt;ul&gt;",""),"&lt;/ul&gt;",""),"&lt;/strong&gt;",""))</f>
        <v>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v>
      </c>
      <c r="I11" s="10" cm="1" t="str">
        <f t="array" ref="I11">IF(C11="","",IF(OR(H11="",H11=0,H11=FALSE),"-",H11))</f>
        <v>Cold call 11/2025, Vincent Debeve intéressé par nos fonds, mail envoyé. RDV 12/03/2026 : présentation Audacia &amp;amp; FCPI, intérêt pour FCPI, préfère tickets &amp;lt;100k, travaille avec Alto pour défisc. Présentations envoyées, demande intro Métagram. Relance prévue mai/juin pour campagne souscription septembre.</v>
      </c>
      <c r="J11" s="6" t="s">
        <v>57</v>
      </c>
      <c r="K11" s="6" t="s">
        <v>41</v>
      </c>
      <c r="L11" s="6" cm="1" t="str">
        <f t="array" ref="L11">IF(C11="","",IF(K11="Mort / Plus rien à faire","KO","OK"))</f>
        <v>OK</v>
      </c>
      <c r="M11" s="11">
        <v>46093.66546296296</v>
      </c>
      <c r="N11" s="11" cm="1" t="n">
        <f t="array" ref="N11">IF(OR(C11="",M11="",M11=0),"",M11)</f>
        <v>46093.66546296296</v>
      </c>
      <c r="O11" s="11">
        <v>46153.041666666664</v>
      </c>
      <c r="P11" s="11" cm="1" t="n">
        <f t="array" ref="P11">IF(C11="","",IF(OR(O11="",O11=0),"-",O11))</f>
        <v>46153.041666666664</v>
      </c>
      <c r="Q11" s="12">
        <v>0</v>
      </c>
      <c r="R11" s="6" cm="1" t="str">
        <f t="array" ref="R11">IF(C11="","",ROUND(Q11/1000000,3)&amp;" M€")</f>
        <v>0 M€</v>
      </c>
      <c r="S11" s="13">
        <v>30</v>
      </c>
      <c r="T11" s="6" cm="1" t="str">
        <f t="array" ref="T11">IF(C11="","",SUBSTITUTE(S11,"","")&amp;"%")</f>
        <v>30%</v>
      </c>
      <c r="U11" s="10" cm="1" t="str">
        <f t="array" ref="U11">IF(($N11="")*($P11=""),"",IF(($N11&lt;&gt;"")*($N11&gt;TODAY()-9)*($N11&lt;TODAY()+1)*($P11&lt;&gt;"")*($P11&gt;=TODAY())*($P11&lt;=TODAY()+13),"Semaine passée &amp; à venir",IF(($N11&lt;&gt;"")*($N11&gt;TODAY()-9)*($N11&lt;TODAY()+1),"Semaine passée",IF(($P11&lt;&gt;"")*($P11&gt;=TODAY())*($P11&lt;=TODAY()+13),"À venir","Autre"))))</f>
        <v>Autre</v>
      </c>
      <c r="V11" s="5" cm="1" t="n">
        <f t="array" ref="V11">IF(C11&lt;&gt;"",1,0)</f>
        <v>1</v>
      </c>
      <c r="W11" s="5">
</c>
      <c r="X11" s="5">
</c>
      <c r="Y11" s="5">
</c>
      <c r="Z11" s="5">
</c>
      <c r="AA11" s="5">
</c>
      <c r="AB11" s="5">
</c>
      <c r="AC11" s="5">
</c>
      <c r="AD11" s="5">
</c>
      <c r="AE11" s="5">
</c>
      <c r="AF11" s="5">
</c>
      <c r="AG11" s="5">
</c>
      <c r="AH11" s="5">
</c>
      <c r="AI11" s="5">
</c>
      <c r="AJ11" s="5">
</c>
      <c r="AK11" s="5">
</c>
    </row>
    <row r="12" ht="65.25" customHeight="1">
      <c r="A12" s="6" t="s">
        <v>23</v>
      </c>
      <c r="B12" s="6" t="s">
        <v>47</v>
      </c>
      <c r="C12" s="8" t="s">
        <v>58</v>
      </c>
      <c r="D12" s="9" t="s">
        <v>59</v>
      </c>
      <c r="E12" s="6" t="s">
        <v>50</v>
      </c>
      <c r="F12" s="6" t="s">
        <v>60</v>
      </c>
      <c r="G12" s="6" cm="1" t="str">
        <f t="array" ref="G12">IF(F12="","",SUBSTITUTE(SUBSTITUTE(SUBSTITUTE(SUBSTITUTE(F12,"&lt;li&gt;",CHAR(10)),"&lt;/li&gt;",""),"&lt;br&gt;",CHAR(10)),"&lt;strong&gt;",""))</f>
        <v>&lt;p&gt;Approche banquier privé initiée, rdv calé avec Romain Barnay (Directeur Banque Privé). Pas encore de retour du prospect sur les fonds présentés. Prochaine étape : rdv prévu le 17/04 avec Romain Barnay pour avancer sur l'opportunité. Aucun retour prospect enregistré à ce stade.&lt;/p&gt;</v>
      </c>
      <c r="H12" s="6" cm="1" t="str">
        <f t="array" ref="H12">IF(G12="","",SUBSTITUTE(SUBSTITUTE(SUBSTITUTE(SUBSTITUTE(SUBSTITUTE(G12,"&lt;p&gt;",""),"&lt;/p&gt;",""),"&lt;ul&gt;",""),"&lt;/ul&gt;",""),"&lt;/strong&gt;",""))</f>
        <v>Approche banquier privé initiée, rdv calé avec Romain Barnay (Directeur Banque Privé). Pas encore de retour du prospect sur les fonds présentés. Prochaine étape : rdv prévu le 17/04 avec Romain Barnay pour avancer sur l'opportunité. Aucun retour prospect enregistré à ce stade.</v>
      </c>
      <c r="I12" s="10" cm="1" t="str">
        <f t="array" ref="I12">IF(C12="","",IF(OR(H12="",H12=0,H12=FALSE),"-",H12))</f>
        <v>Approche banquier privé initiée, rdv calé avec Romain Barnay (Directeur Banque Privé). Pas encore de retour du prospect sur les fonds présentés. Prochaine étape : rdv prévu le 17/04 avec Romain Barnay pour avancer sur l'opportunité. Aucun retour prospect enregistré à ce stade.</v>
      </c>
      <c r="J12" s="6" t="s">
        <v>61</v>
      </c>
      <c r="K12" s="6" t="s">
        <v>53</v>
      </c>
      <c r="L12" s="6" cm="1" t="str">
        <f t="array" ref="L12">IF(C12="","",IF(K12="Mort / Plus rien à faire","KO","OK"))</f>
        <v>OK</v>
      </c>
      <c r="M12" s="11">
        <v>46094.533784722225</v>
      </c>
      <c r="N12" s="11" cm="1" t="n">
        <f t="array" ref="N12">IF(OR(C12="",M12="",M12=0),"",M12)</f>
        <v>46094.533784722225</v>
      </c>
      <c r="O12" s="11">
        <v>46129.083333333336</v>
      </c>
      <c r="P12" s="11" cm="1" t="n">
        <f t="array" ref="P12">IF(C12="","",IF(OR(O12="",O12=0),"-",O12))</f>
        <v>46129.083333333336</v>
      </c>
      <c r="Q12" s="12">
        <v>0</v>
      </c>
      <c r="R12" s="6" cm="1" t="str">
        <f t="array" ref="R12">IF(C12="","",ROUND(Q12/1000000,3)&amp;" M€")</f>
        <v>0 M€</v>
      </c>
      <c r="S12" s="13">
        <v>30</v>
      </c>
      <c r="T12" s="6" cm="1" t="str">
        <f t="array" ref="T12">IF(C12="","",SUBSTITUTE(S12,"","")&amp;"%")</f>
        <v>30%</v>
      </c>
      <c r="U12" s="10" cm="1" t="str">
        <f t="array" ref="U12">IF(($N12="")*($P12=""),"",IF(($N12&lt;&gt;"")*($N12&gt;TODAY()-9)*($N12&lt;TODAY()+1)*($P12&lt;&gt;"")*($P12&gt;=TODAY())*($P12&lt;=TODAY()+13),"Semaine passée &amp; à venir",IF(($N12&lt;&gt;"")*($N12&gt;TODAY()-9)*($N12&lt;TODAY()+1),"Semaine passée",IF(($P12&lt;&gt;"")*($P12&gt;=TODAY())*($P12&lt;=TODAY()+13),"À venir","Autre"))))</f>
        <v>Autre</v>
      </c>
      <c r="V12" s="5" cm="1" t="n">
        <f t="array" ref="V12">IF(C12&lt;&gt;"",1,0)</f>
        <v>1</v>
      </c>
      <c r="W12" s="5">
</c>
      <c r="X12" s="5">
</c>
      <c r="Y12" s="5">
</c>
      <c r="Z12" s="5">
</c>
      <c r="AA12" s="5">
</c>
      <c r="AB12" s="5">
</c>
      <c r="AC12" s="5">
</c>
      <c r="AD12" s="5">
</c>
      <c r="AE12" s="5">
</c>
      <c r="AF12" s="5">
</c>
      <c r="AG12" s="5">
</c>
      <c r="AH12" s="5">
</c>
      <c r="AI12" s="5">
</c>
      <c r="AJ12" s="5">
</c>
      <c r="AK12" s="5">
</c>
    </row>
    <row r="13" ht="65.25" customHeight="1">
      <c r="A13" s="6" t="s">
        <v>23</v>
      </c>
      <c r="B13" s="6" t="s">
        <v>24</v>
      </c>
      <c r="C13" s="8" t="s">
        <v>62</v>
      </c>
      <c r="D13" s="9" t="s">
        <v>63</v>
      </c>
      <c r="E13" s="6" t="s">
        <v>27</v>
      </c>
      <c r="F13" s="6" t="s">
        <v>64</v>
      </c>
      <c r="G13" s="6" cm="1" t="str">
        <f t="array" ref="G13">IF(F13="","",SUBSTITUTE(SUBSTITUTE(SUBSTITUTE(SUBSTITUTE(F13,"&lt;li&gt;",CHAR(10)),"&lt;/li&gt;",""),"&lt;br&gt;",CHAR(10)),"&lt;strong&gt;",""))</f>
        <v>&lt;p&gt;Cold call 25/02, RDV fixé. 17/03 visio FCPI Capital Innovation : prospect intéressé, veut infos régulières, focus sur sous-jacents, défisc prioritaire pour ses clients. Prochaine étape : mail avec présentations FCPI, convention vierge, RDV 2 à organiser début mai avec Cédric pour présentation outil onboarding et signature convention.&lt;/p&gt;</v>
      </c>
      <c r="H13" s="6" cm="1" t="str">
        <f t="array" ref="H13">IF(G13="","",SUBSTITUTE(SUBSTITUTE(SUBSTITUTE(SUBSTITUTE(SUBSTITUTE(G13,"&lt;p&gt;",""),"&lt;/p&gt;",""),"&lt;ul&gt;",""),"&lt;/ul&gt;",""),"&lt;/strong&gt;",""))</f>
        <v>Cold call 25/02, RDV fixé. 17/03 visio FCPI Capital Innovation : prospect intéressé, veut infos régulières, focus sur sous-jacents, défisc prioritaire pour ses clients. Prochaine étape : mail avec présentations FCPI, convention vierge, RDV 2 à organiser début mai avec Cédric pour présentation outil onboarding et signature convention.</v>
      </c>
      <c r="I13" s="10" cm="1" t="str">
        <f t="array" ref="I13">IF(C13="","",IF(OR(H13="",H13=0,H13=FALSE),"-",H13))</f>
        <v>Cold call 25/02, RDV fixé. 17/03 visio FCPI Capital Innovation : prospect intéressé, veut infos régulières, focus sur sous-jacents, défisc prioritaire pour ses clients. Prochaine étape : mail avec présentations FCPI, convention vierge, RDV 2 à organiser début mai avec Cédric pour présentation outil onboarding et signature convention.</v>
      </c>
      <c r="J13" s="6" t="s">
        <v>65</v>
      </c>
      <c r="K13" s="6" t="s">
        <v>41</v>
      </c>
      <c r="L13" s="6" cm="1" t="str">
        <f t="array" ref="L13">IF(C13="","",IF(K13="Mort / Plus rien à faire","KO","OK"))</f>
        <v>OK</v>
      </c>
      <c r="M13" s="11">
        <v>46100.47023148148</v>
      </c>
      <c r="N13" s="11" cm="1" t="n">
        <f t="array" ref="N13">IF(OR(C13="",M13="",M13=0),"",M13)</f>
        <v>46100.47023148148</v>
      </c>
      <c r="O13" s="11">
        <v>46126.041666666664</v>
      </c>
      <c r="P13" s="11" cm="1" t="n">
        <f t="array" ref="P13">IF(C13="","",IF(OR(O13="",O13=0),"-",O13))</f>
        <v>46126.041666666664</v>
      </c>
      <c r="Q13" s="12">
        <v>0</v>
      </c>
      <c r="R13" s="6" cm="1" t="str">
        <f t="array" ref="R13">IF(C13="","",ROUND(Q13/1000000,3)&amp;" M€")</f>
        <v>0 M€</v>
      </c>
      <c r="S13" s="13">
        <v>30</v>
      </c>
      <c r="T13" s="6" cm="1" t="str">
        <f t="array" ref="T13">IF(C13="","",SUBSTITUTE(S13,"","")&amp;"%")</f>
        <v>30%</v>
      </c>
      <c r="U13" s="10" cm="1" t="str">
        <f t="array" ref="U13">IF(($N13="")*($P13=""),"",IF(($N13&lt;&gt;"")*($N13&gt;TODAY()-9)*($N13&lt;TODAY()+1)*($P13&lt;&gt;"")*($P13&gt;=TODAY())*($P13&lt;=TODAY()+13),"Semaine passée &amp; à venir",IF(($N13&lt;&gt;"")*($N13&gt;TODAY()-9)*($N13&lt;TODAY()+1),"Semaine passée",IF(($P13&lt;&gt;"")*($P13&gt;=TODAY())*($P13&lt;=TODAY()+13),"À venir","Autre"))))</f>
        <v>À venir</v>
      </c>
      <c r="V13" s="5" cm="1" t="n">
        <f t="array" ref="V13">IF(C13&lt;&gt;"",1,0)</f>
        <v>1</v>
      </c>
      <c r="W13" s="5">
</c>
      <c r="X13" s="5">
</c>
      <c r="Y13" s="5">
</c>
      <c r="Z13" s="5">
</c>
      <c r="AA13" s="5">
</c>
      <c r="AB13" s="5">
</c>
      <c r="AC13" s="5">
</c>
      <c r="AD13" s="5">
</c>
      <c r="AE13" s="5">
</c>
      <c r="AF13" s="5">
</c>
      <c r="AG13" s="5">
</c>
      <c r="AH13" s="5">
</c>
      <c r="AI13" s="5">
</c>
      <c r="AJ13" s="5">
</c>
      <c r="AK13" s="5">
</c>
    </row>
    <row r="14" ht="65.25" customHeight="1">
      <c r="A14" s="6" t="s">
        <v>23</v>
      </c>
      <c r="B14" s="6" t="s">
        <v>24</v>
      </c>
      <c r="C14" s="8" t="s">
        <v>66</v>
      </c>
      <c r="D14" s="9" t="s">
        <v>67</v>
      </c>
      <c r="E14" s="6" t="s">
        <v>27</v>
      </c>
      <c r="F14" s="6" t="s">
        <v>68</v>
      </c>
      <c r="G14" s="6" cm="1" t="str">
        <f t="array" ref="G14">IF(F14="","",SUBSTITUTE(SUBSTITUTE(SUBSTITUTE(SUBSTITUTE(F14,"&lt;li&gt;",CHAR(10)),"&lt;/li&gt;",""),"&lt;br&gt;",CHAR(10)),"&lt;strong&gt;",""))</f>
        <v>&lt;p&gt;Cold call 25/02 : prospect travaille surtout avec LBO France, peu d'intérêt clients pour FCPI. Présentation Audacia envoyée, proposition RDV avec gérant. 25/02 : mail présentation FCPI envoyé. 19/03 : relance mail et proposition RDV. Sujet non prioritaire pour le prospect. Pas d'action prévue à ce stade.&lt;/p&gt;</v>
      </c>
      <c r="H14" s="6" cm="1" t="str">
        <f t="array" ref="H14">IF(G14="","",SUBSTITUTE(SUBSTITUTE(SUBSTITUTE(SUBSTITUTE(SUBSTITUTE(G14,"&lt;p&gt;",""),"&lt;/p&gt;",""),"&lt;ul&gt;",""),"&lt;/ul&gt;",""),"&lt;/strong&gt;",""))</f>
        <v>Cold call 25/02 : prospect travaille surtout avec LBO France, peu d'intérêt clients pour FCPI. Présentation Audacia envoyée, proposition RDV avec gérant. 25/02 : mail présentation FCPI envoyé. 19/03 : relance mail et proposition RDV. Sujet non prioritaire pour le prospect. Pas d'action prévue à ce stade.</v>
      </c>
      <c r="I14" s="10" cm="1" t="str">
        <f t="array" ref="I14">IF(C14="","",IF(OR(H14="",H14=0,H14=FALSE),"-",H14))</f>
        <v>Cold call 25/02 : prospect travaille surtout avec LBO France, peu d'intérêt clients pour FCPI. Présentation Audacia envoyée, proposition RDV avec gérant. 25/02 : mail présentation FCPI envoyé. 19/03 : relance mail et proposition RDV. Sujet non prioritaire pour le prospect. Pas d'action prévue à ce stade.</v>
      </c>
      <c r="J14" s="6">
</c>
      <c r="K14" s="6" t="s">
        <v>41</v>
      </c>
      <c r="L14" s="6" cm="1" t="str">
        <f t="array" ref="L14">IF(C14="","",IF(K14="Mort / Plus rien à faire","KO","OK"))</f>
        <v>OK</v>
      </c>
      <c r="M14" s="11">
        <v>46100.64380787037</v>
      </c>
      <c r="N14" s="11" cm="1" t="n">
        <f t="array" ref="N14">IF(OR(C14="",M14="",M14=0),"",M14)</f>
        <v>46100.64380787037</v>
      </c>
      <c r="O14" s="11">
</c>
      <c r="P14" s="11" cm="1" t="str">
        <f t="array" ref="P14">IF(C14="","",IF(OR(O14="",O14=0),"-",O14))</f>
        <v>-</v>
      </c>
      <c r="Q14" s="12">
        <v>0</v>
      </c>
      <c r="R14" s="6" cm="1" t="str">
        <f t="array" ref="R14">IF(C14="","",ROUND(Q14/1000000,3)&amp;" M€")</f>
        <v>0 M€</v>
      </c>
      <c r="S14" s="13">
        <v>20</v>
      </c>
      <c r="T14" s="6" cm="1" t="str">
        <f t="array" ref="T14">IF(C14="","",SUBSTITUTE(S14,"","")&amp;"%")</f>
        <v>20%</v>
      </c>
      <c r="U14" s="10"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c r="AK14" s="5">
</c>
    </row>
    <row r="15" ht="65.25" customHeight="1">
      <c r="A15" s="6" t="s">
        <v>23</v>
      </c>
      <c r="B15" s="6" t="s">
        <v>24</v>
      </c>
      <c r="C15" s="8" t="s">
        <v>69</v>
      </c>
      <c r="D15" s="9" t="s">
        <v>70</v>
      </c>
      <c r="E15" s="6" t="s">
        <v>50</v>
      </c>
      <c r="F15" s="6" t="s">
        <v>71</v>
      </c>
      <c r="G15" s="6" cm="1" t="str">
        <f t="array" ref="G15">IF(F15="","",SUBSTITUTE(SUBSTITUTE(SUBSTITUTE(SUBSTITUTE(F15,"&lt;li&gt;",CHAR(10)),"&lt;/li&gt;",""),"&lt;br&gt;",CHAR(10)),"&lt;strong&gt;",""))</f>
        <v>&lt;p&gt;RDV physique 23/03 avec Pierre Massart (Intencial) : échanges sur offre immobilière/PE, digitalisation à venir, due diligence lancée, liste de docs reçue. Comité reporté à mai/juin, attente éléments complémentaires. Intérêt pour nouvelle offre PE, focus sur digital, rétrocession frais demandée, process en cours.&lt;/p&gt;</v>
      </c>
      <c r="H15" s="6" cm="1" t="str">
        <f t="array" ref="H15">IF(G15="","",SUBSTITUTE(SUBSTITUTE(SUBSTITUTE(SUBSTITUTE(SUBSTITUTE(G15,"&lt;p&gt;",""),"&lt;/p&gt;",""),"&lt;ul&gt;",""),"&lt;/ul&gt;",""),"&lt;/strong&gt;",""))</f>
        <v>RDV physique 23/03 avec Pierre Massart (Intencial) : échanges sur offre immobilière/PE, digitalisation à venir, due diligence lancée, liste de docs reçue. Comité reporté à mai/juin, attente éléments complémentaires. Intérêt pour nouvelle offre PE, focus sur digital, rétrocession frais demandée, process en cours.</v>
      </c>
      <c r="I15" s="10" cm="1" t="str">
        <f t="array" ref="I15">IF(C15="","",IF(OR(H15="",H15=0,H15=FALSE),"-",H15))</f>
        <v>RDV physique 23/03 avec Pierre Massart (Intencial) : échanges sur offre immobilière/PE, digitalisation à venir, due diligence lancée, liste de docs reçue. Comité reporté à mai/juin, attente éléments complémentaires. Intérêt pour nouvelle offre PE, focus sur digital, rétrocession frais demandée, process en cours.</v>
      </c>
      <c r="J15" s="6" t="s">
        <v>72</v>
      </c>
      <c r="K15" s="6" t="s">
        <v>41</v>
      </c>
      <c r="L15" s="6" cm="1" t="str">
        <f t="array" ref="L15">IF(C15="","",IF(K15="Mort / Plus rien à faire","KO","OK"))</f>
        <v>OK</v>
      </c>
      <c r="M15" s="11">
        <v>46113.87478009259</v>
      </c>
      <c r="N15" s="11" cm="1" t="n">
        <f t="array" ref="N15">IF(OR(C15="",M15="",M15=0),"",M15)</f>
        <v>46113.87478009259</v>
      </c>
      <c r="O15" s="11">
        <v>46136.833333333336</v>
      </c>
      <c r="P15" s="11" cm="1" t="n">
        <f t="array" ref="P15">IF(C15="","",IF(OR(O15="",O15=0),"-",O15))</f>
        <v>46136.833333333336</v>
      </c>
      <c r="Q15" s="12">
        <v>0</v>
      </c>
      <c r="R15" s="6" cm="1" t="str">
        <f t="array" ref="R15">IF(C15="","",ROUND(Q15/1000000,3)&amp;" M€")</f>
        <v>0 M€</v>
      </c>
      <c r="S15" s="13">
        <v>20</v>
      </c>
      <c r="T15" s="6" cm="1" t="str">
        <f t="array" ref="T15">IF(C15="","",SUBSTITUTE(S15,"","")&amp;"%")</f>
        <v>20%</v>
      </c>
      <c r="U15" s="10" cm="1" t="str">
        <f t="array" ref="U15">IF(($N15="")*($P15=""),"",IF(($N15&lt;&gt;"")*($N15&gt;TODAY()-9)*($N15&lt;TODAY()+1)*($P15&lt;&gt;"")*($P15&gt;=TODAY())*($P15&lt;=TODAY()+13),"Semaine passée &amp; à venir",IF(($N15&lt;&gt;"")*($N15&gt;TODAY()-9)*($N15&lt;TODAY()+1),"Semaine passée",IF(($P15&lt;&gt;"")*($P15&gt;=TODAY())*($P15&lt;=TODAY()+13),"À venir","Autre"))))</f>
        <v>Semaine passée</v>
      </c>
      <c r="V15" s="5" cm="1" t="n">
        <f t="array" ref="V15">IF(C15&lt;&gt;"",1,0)</f>
        <v>1</v>
      </c>
      <c r="W15" s="5">
</c>
      <c r="X15" s="5">
</c>
      <c r="Y15" s="5">
</c>
      <c r="Z15" s="5">
</c>
      <c r="AA15" s="5">
</c>
      <c r="AB15" s="5">
</c>
      <c r="AC15" s="5">
</c>
      <c r="AD15" s="5">
</c>
      <c r="AE15" s="5">
</c>
      <c r="AF15" s="5">
</c>
      <c r="AG15" s="5">
</c>
      <c r="AH15" s="5">
</c>
      <c r="AI15" s="5">
</c>
      <c r="AJ15" s="5">
</c>
      <c r="AK15" s="5">
</c>
    </row>
    <row r="16" ht="65.25" customHeight="1">
      <c r="A16" s="6" t="s">
        <v>23</v>
      </c>
      <c r="B16" s="6" t="s">
        <v>24</v>
      </c>
      <c r="C16" s="8" t="s">
        <v>73</v>
      </c>
      <c r="D16" s="9" t="s">
        <v>74</v>
      </c>
      <c r="E16" s="6" t="s">
        <v>27</v>
      </c>
      <c r="F16" s="6" t="s">
        <v>75</v>
      </c>
      <c r="G16" s="6" cm="1" t="str">
        <f t="array" ref="G16">IF(F16="","",SUBSTITUTE(SUBSTITUTE(SUBSTITUTE(SUBSTITUTE(F16,"&lt;li&gt;",CHAR(10)),"&lt;/li&gt;",""),"&lt;br&gt;",CHAR(10)),"&lt;strong&gt;",""))</f>
        <v>&lt;p&gt;Cold call 25/11, client CGP Paris, peu de PE, intérêt dette privée/infra, possible intérêt Capital Innovation. Présentation envoyée 01/12, relance mail FCPI 16/12. Pas de feedback prospect sur fonds. Prochaine étape non précisée, dernière action : relance mail suite présentation.&lt;/p&gt;</v>
      </c>
      <c r="H16" s="6" cm="1" t="str">
        <f t="array" ref="H16">IF(G16="","",SUBSTITUTE(SUBSTITUTE(SUBSTITUTE(SUBSTITUTE(SUBSTITUTE(G16,"&lt;p&gt;",""),"&lt;/p&gt;",""),"&lt;ul&gt;",""),"&lt;/ul&gt;",""),"&lt;/strong&gt;",""))</f>
        <v>Cold call 25/11, client CGP Paris, peu de PE, intérêt dette privée/infra, possible intérêt Capital Innovation. Présentation envoyée 01/12, relance mail FCPI 16/12. Pas de feedback prospect sur fonds. Prochaine étape non précisée, dernière action : relance mail suite présentation.</v>
      </c>
      <c r="I16" s="10" cm="1" t="str">
        <f t="array" ref="I16">IF(C16="","",IF(OR(H16="",H16=0,H16=FALSE),"-",H16))</f>
        <v>Cold call 25/11, client CGP Paris, peu de PE, intérêt dette privée/infra, possible intérêt Capital Innovation. Présentation envoyée 01/12, relance mail FCPI 16/12. Pas de feedback prospect sur fonds. Prochaine étape non précisée, dernière action : relance mail suite présentation.</v>
      </c>
      <c r="J16" s="6">
</c>
      <c r="K16" s="6" t="s">
        <v>53</v>
      </c>
      <c r="L16" s="6" cm="1" t="str">
        <f t="array" ref="L16">IF(C16="","",IF(K16="Mort / Plus rien à faire","KO","OK"))</f>
        <v>OK</v>
      </c>
      <c r="M16" s="11">
        <v>46085.63547453703</v>
      </c>
      <c r="N16" s="11" cm="1" t="n">
        <f t="array" ref="N16">IF(OR(C16="",M16="",M16=0),"",M16)</f>
        <v>46085.63547453703</v>
      </c>
      <c r="O16" s="11">
</c>
      <c r="P16" s="11" cm="1" t="str">
        <f t="array" ref="P16">IF(C16="","",IF(OR(O16="",O16=0),"-",O16))</f>
        <v>-</v>
      </c>
      <c r="Q16" s="12">
        <v>0</v>
      </c>
      <c r="R16" s="6" cm="1" t="str">
        <f t="array" ref="R16">IF(C16="","",ROUND(Q16/1000000,3)&amp;" M€")</f>
        <v>0 M€</v>
      </c>
      <c r="S16" s="13">
        <v>10</v>
      </c>
      <c r="T16" s="6" cm="1" t="str">
        <f t="array" ref="T16">IF(C16="","",SUBSTITUTE(S16,"","")&amp;"%")</f>
        <v>10%</v>
      </c>
      <c r="U16" s="10"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c r="AK16" s="5">
</c>
    </row>
    <row r="17" ht="65.25" customHeight="1">
      <c r="A17" s="6" t="s">
        <v>23</v>
      </c>
      <c r="B17" s="6" t="s">
        <v>24</v>
      </c>
      <c r="C17" s="8" t="s">
        <v>76</v>
      </c>
      <c r="D17" s="9" t="s">
        <v>77</v>
      </c>
      <c r="E17" s="6" t="s">
        <v>45</v>
      </c>
      <c r="F17" s="6" t="s">
        <v>78</v>
      </c>
      <c r="G17" s="6" cm="1" t="str">
        <f t="array" ref="G17">IF(F17="","",SUBSTITUTE(SUBSTITUTE(SUBSTITUTE(SUBSTITUTE(F17,"&lt;li&gt;",CHAR(10)),"&lt;/li&gt;",""),"&lt;br&gt;",CHAR(10)),"&lt;strong&gt;",""))</f>
        <v>&lt;p&gt;Multiples appels pour proposer FCPI JEI à société déjà active sur FCPI (Eurazeo, Eiffel, Vatel). Intérêt confirmé, mais surcharge liée au PLF 2026, relance prévue début avril. Dernier échange 30/03&amp;nbsp;: toujours intéressés pour commercialiser. Prochaine étape&amp;nbsp;: appel à passer pour avancer.&lt;/p&gt;</v>
      </c>
      <c r="H17" s="6" cm="1" t="str">
        <f t="array" ref="H17">IF(G17="","",SUBSTITUTE(SUBSTITUTE(SUBSTITUTE(SUBSTITUTE(SUBSTITUTE(G17,"&lt;p&gt;",""),"&lt;/p&gt;",""),"&lt;ul&gt;",""),"&lt;/ul&gt;",""),"&lt;/strong&gt;",""))</f>
        <v>Multiples appels pour proposer FCPI JEI à société déjà active sur FCPI (Eurazeo, Eiffel, Vatel). Intérêt confirmé, mais surcharge liée au PLF 2026, relance prévue début avril. Dernier échange 30/03&amp;nbsp;: toujours intéressés pour commercialiser. Prochaine étape&amp;nbsp;: appel à passer pour avancer.</v>
      </c>
      <c r="I17" s="10" cm="1" t="str">
        <f t="array" ref="I17">IF(C17="","",IF(OR(H17="",H17=0,H17=FALSE),"-",H17))</f>
        <v>Multiples appels pour proposer FCPI JEI à société déjà active sur FCPI (Eurazeo, Eiffel, Vatel). Intérêt confirmé, mais surcharge liée au PLF 2026, relance prévue début avril. Dernier échange 30/03&amp;nbsp;: toujours intéressés pour commercialiser. Prochaine étape&amp;nbsp;: appel à passer pour avancer.</v>
      </c>
      <c r="J17" s="6" t="s">
        <v>79</v>
      </c>
      <c r="K17" s="6" t="s">
        <v>41</v>
      </c>
      <c r="L17" s="6" cm="1" t="str">
        <f t="array" ref="L17">IF(C17="","",IF(K17="Mort / Plus rien à faire","KO","OK"))</f>
        <v>OK</v>
      </c>
      <c r="M17" s="11">
        <v>46111.48229166667</v>
      </c>
      <c r="N17" s="11" cm="1" t="n">
        <f t="array" ref="N17">IF(OR(C17="",M17="",M17=0),"",M17)</f>
        <v>46111.48229166667</v>
      </c>
      <c r="O17" s="11">
        <v>46121.083333333336</v>
      </c>
      <c r="P17" s="11" cm="1" t="n">
        <f t="array" ref="P17">IF(C17="","",IF(OR(O17="",O17=0),"-",O17))</f>
        <v>46121.083333333336</v>
      </c>
      <c r="Q17" s="12">
        <v>0</v>
      </c>
      <c r="R17" s="6" cm="1" t="str">
        <f t="array" ref="R17">IF(C17="","",ROUND(Q17/1000000,3)&amp;" M€")</f>
        <v>0 M€</v>
      </c>
      <c r="S17" s="13">
        <v>10</v>
      </c>
      <c r="T17" s="6" cm="1" t="str">
        <f t="array" ref="T17">IF(C17="","",SUBSTITUTE(S17,"","")&amp;"%")</f>
        <v>10%</v>
      </c>
      <c r="U17" s="10" cm="1" t="str">
        <f t="array" ref="U17">IF(($N17="")*($P17=""),"",IF(($N17&lt;&gt;"")*($N17&gt;TODAY()-9)*($N17&lt;TODAY()+1)*($P17&lt;&gt;"")*($P17&gt;=TODAY())*($P17&lt;=TODAY()+13),"Semaine passée &amp; à venir",IF(($N17&lt;&gt;"")*($N17&gt;TODAY()-9)*($N17&lt;TODAY()+1),"Semaine passée",IF(($P17&lt;&gt;"")*($P17&gt;=TODAY())*($P17&lt;=TODAY()+13),"À venir","Autre"))))</f>
        <v>Semaine passée &amp; à venir</v>
      </c>
      <c r="V17" s="5" cm="1" t="n">
        <f t="array" ref="V17">IF(C17&lt;&gt;"",1,0)</f>
        <v>1</v>
      </c>
      <c r="W17" s="5">
</c>
      <c r="X17" s="5">
</c>
      <c r="Y17" s="5">
</c>
      <c r="Z17" s="5">
</c>
      <c r="AA17" s="5">
</c>
      <c r="AB17" s="5">
</c>
      <c r="AC17" s="5">
</c>
      <c r="AD17" s="5">
</c>
      <c r="AE17" s="5">
</c>
      <c r="AF17" s="5">
</c>
      <c r="AG17" s="5">
</c>
      <c r="AH17" s="5">
</c>
      <c r="AI17" s="5">
</c>
      <c r="AJ17" s="5">
</c>
      <c r="AK17" s="5">
</c>
    </row>
    <row r="18" ht="65.25" customHeight="1">
      <c r="A18" s="6" t="s">
        <v>23</v>
      </c>
      <c r="B18" s="6" t="s">
        <v>24</v>
      </c>
      <c r="C18" s="8" t="s">
        <v>80</v>
      </c>
      <c r="D18" s="9" t="s">
        <v>81</v>
      </c>
      <c r="E18" s="6" t="s">
        <v>35</v>
      </c>
      <c r="F18" s="6" t="s">
        <v>82</v>
      </c>
      <c r="G18" s="6" cm="1" t="str">
        <f t="array" ref="G18">IF(F18="","",SUBSTITUTE(SUBSTITUTE(SUBSTITUTE(SUBSTITUTE(F18,"&lt;li&gt;",CHAR(10)),"&lt;/li&gt;",""),"&lt;br&gt;",CHAR(10)),"&lt;strong&gt;",""))</f>
        <v>&lt;p&gt;25/02/26 café avec Directeur Cheval Blanc Patrimoine CGP Paris 16, offre globale évoquée, prospect pas intéressé pour l’instant, préfère fonds de dette privés, mauvaise image fonds fiscaux. A choisi Wind Capital en FCPI, ouvert à revoir en 2026. Pas d’action prévue à court terme.&lt;/p&gt;</v>
      </c>
      <c r="H18" s="6" cm="1" t="str">
        <f t="array" ref="H18">IF(G18="","",SUBSTITUTE(SUBSTITUTE(SUBSTITUTE(SUBSTITUTE(SUBSTITUTE(G18,"&lt;p&gt;",""),"&lt;/p&gt;",""),"&lt;ul&gt;",""),"&lt;/ul&gt;",""),"&lt;/strong&gt;",""))</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I18" s="10" cm="1" t="str">
        <f t="array" ref="I18">IF(C18="","",IF(OR(H18="",H18=0,H18=FALSE),"-",H18))</f>
        <v>25/02/26 café avec Directeur Cheval Blanc Patrimoine CGP Paris 16, offre globale évoquée, prospect pas intéressé pour l’instant, préfère fonds de dette privés, mauvaise image fonds fiscaux. A choisi Wind Capital en FCPI, ouvert à revoir en 2026. Pas d’action prévue à court terme.</v>
      </c>
      <c r="J18" s="6">
</c>
      <c r="K18" s="6" t="s">
        <v>83</v>
      </c>
      <c r="L18" s="6" cm="1" t="str">
        <f t="array" ref="L18">IF(C18="","",IF(K18="Mort / Plus rien à faire","KO","OK"))</f>
        <v>OK</v>
      </c>
      <c r="M18" s="11">
        <v>46111.72484953704</v>
      </c>
      <c r="N18" s="11" cm="1" t="n">
        <f t="array" ref="N18">IF(OR(C18="",M18="",M18=0),"",M18)</f>
        <v>46111.72484953704</v>
      </c>
      <c r="O18" s="11">
</c>
      <c r="P18" s="11" cm="1" t="str">
        <f t="array" ref="P18">IF(C18="","",IF(OR(O18="",O18=0),"-",O18))</f>
        <v>-</v>
      </c>
      <c r="Q18" s="12">
        <v>0</v>
      </c>
      <c r="R18" s="6" cm="1" t="str">
        <f t="array" ref="R18">IF(C18="","",ROUND(Q18/1000000,3)&amp;" M€")</f>
        <v>0 M€</v>
      </c>
      <c r="S18" s="13">
        <v>10</v>
      </c>
      <c r="T18" s="6" cm="1" t="str">
        <f t="array" ref="T18">IF(C18="","",SUBSTITUTE(S18,"","")&amp;"%")</f>
        <v>10%</v>
      </c>
      <c r="U18" s="10" cm="1" t="str">
        <f t="array" ref="U18">IF(($N18="")*($P18=""),"",IF(($N18&lt;&gt;"")*($N18&gt;TODAY()-9)*($N18&lt;TODAY()+1)*($P18&lt;&gt;"")*($P18&gt;=TODAY())*($P18&lt;=TODAY()+13),"Semaine passée &amp; à venir",IF(($N18&lt;&gt;"")*($N18&gt;TODAY()-9)*($N18&lt;TODAY()+1),"Semaine passée",IF(($P18&lt;&gt;"")*($P18&gt;=TODAY())*($P18&lt;=TODAY()+13),"À venir","Autre"))))</f>
        <v>Semaine passée</v>
      </c>
      <c r="V18" s="5" cm="1" t="n">
        <f t="array" ref="V18">IF(C18&lt;&gt;"",1,0)</f>
        <v>1</v>
      </c>
      <c r="W18" s="5">
</c>
      <c r="X18" s="5">
</c>
      <c r="Y18" s="5">
</c>
      <c r="Z18" s="5">
</c>
      <c r="AA18" s="5">
</c>
      <c r="AB18" s="5">
</c>
      <c r="AC18" s="5">
</c>
      <c r="AD18" s="5">
</c>
      <c r="AE18" s="5">
</c>
      <c r="AF18" s="5">
</c>
      <c r="AG18" s="5">
</c>
      <c r="AH18" s="5">
</c>
      <c r="AI18" s="5">
</c>
      <c r="AJ18" s="5">
</c>
      <c r="AK18" s="5">
</c>
    </row>
    <row r="19" ht="65.25" customHeight="1">
      <c r="A19" s="6" t="s">
        <v>23</v>
      </c>
      <c r="B19" s="6" t="s">
        <v>84</v>
      </c>
      <c r="C19" s="8" t="s">
        <v>85</v>
      </c>
      <c r="D19" s="9" t="s">
        <v>86</v>
      </c>
      <c r="E19" s="6" t="s">
        <v>27</v>
      </c>
      <c r="F19" s="6" t="s">
        <v>87</v>
      </c>
      <c r="G19" s="6" cm="1" t="str">
        <f t="array" ref="G19">IF(F19="","",SUBSTITUTE(SUBSTITUTE(SUBSTITUTE(SUBSTITUTE(F19,"&lt;li&gt;",CHAR(10)),"&lt;/li&gt;",""),"&lt;br&gt;",CHAR(10)),"&lt;strong&gt;",""))</f>
        <v>&lt;p&gt;Multiples relances FCPI par mail et appels (messages laissés 25/02, 04/03, 16/03). Mail envoyé 17/03 pour proposer rdv courant mars. Prospect souhaite être recontacté en 2026, préfère renforcer relations existantes avant nouveaux partenariats. Prochaine relance prévue 02/04.&lt;/p&gt;</v>
      </c>
      <c r="H19" s="6" cm="1" t="str">
        <f t="array" ref="H19">IF(G19="","",SUBSTITUTE(SUBSTITUTE(SUBSTITUTE(SUBSTITUTE(SUBSTITUTE(G19,"&lt;p&gt;",""),"&lt;/p&gt;",""),"&lt;ul&gt;",""),"&lt;/ul&gt;",""),"&lt;/strong&gt;",""))</f>
        <v>Multiples relances FCPI par mail et appels (messages laissés 25/02, 04/03, 16/03). Mail envoyé 17/03 pour proposer rdv courant mars. Prospect souhaite être recontacté en 2026, préfère renforcer relations existantes avant nouveaux partenariats. Prochaine relance prévue 02/04.</v>
      </c>
      <c r="I19" s="10" cm="1" t="str">
        <f t="array" ref="I19">IF(C19="","",IF(OR(H19="",H19=0,H19=FALSE),"-",H19))</f>
        <v>Multiples relances FCPI par mail et appels (messages laissés 25/02, 04/03, 16/03). Mail envoyé 17/03 pour proposer rdv courant mars. Prospect souhaite être recontacté en 2026, préfère renforcer relations existantes avant nouveaux partenariats. Prochaine relance prévue 02/04.</v>
      </c>
      <c r="J19" s="6" t="s">
        <v>88</v>
      </c>
      <c r="K19" s="6" t="s">
        <v>41</v>
      </c>
      <c r="L19" s="6" cm="1" t="str">
        <f t="array" ref="L19">IF(C19="","",IF(K19="Mort / Plus rien à faire","KO","OK"))</f>
        <v>OK</v>
      </c>
      <c r="M19" s="11">
        <v>46098.68980324074</v>
      </c>
      <c r="N19" s="11" cm="1" t="n">
        <f t="array" ref="N19">IF(OR(C19="",M19="",M19=0),"",M19)</f>
        <v>46098.68980324074</v>
      </c>
      <c r="O19" s="11">
        <v>46126.625</v>
      </c>
      <c r="P19" s="11" cm="1" t="n">
        <f t="array" ref="P19">IF(C19="","",IF(OR(O19="",O19=0),"-",O19))</f>
        <v>46126.625</v>
      </c>
      <c r="Q19" s="12">
        <v>0</v>
      </c>
      <c r="R19" s="6" cm="1" t="str">
        <f t="array" ref="R19">IF(C19="","",ROUND(Q19/1000000,3)&amp;" M€")</f>
        <v>0 M€</v>
      </c>
      <c r="S19" s="13">
        <v>10</v>
      </c>
      <c r="T19" s="6" cm="1" t="str">
        <f t="array" ref="T19">IF(C19="","",SUBSTITUTE(S19,"","")&amp;"%")</f>
        <v>10%</v>
      </c>
      <c r="U19" s="10" cm="1" t="str">
        <f t="array" ref="U19">IF(($N19="")*($P19=""),"",IF(($N19&lt;&gt;"")*($N19&gt;TODAY()-9)*($N19&lt;TODAY()+1)*($P19&lt;&gt;"")*($P19&gt;=TODAY())*($P19&lt;=TODAY()+13),"Semaine passée &amp; à venir",IF(($N19&lt;&gt;"")*($N19&gt;TODAY()-9)*($N19&lt;TODAY()+1),"Semaine passée",IF(($P19&lt;&gt;"")*($P19&gt;=TODAY())*($P19&lt;=TODAY()+13),"À venir","Autre"))))</f>
        <v>À venir</v>
      </c>
      <c r="V19" s="5" cm="1" t="n">
        <f t="array" ref="V19">IF(C19&lt;&gt;"",1,0)</f>
        <v>1</v>
      </c>
      <c r="W19" s="5">
</c>
      <c r="X19" s="5">
</c>
      <c r="Y19" s="5">
</c>
      <c r="Z19" s="5">
</c>
      <c r="AA19" s="5">
</c>
      <c r="AB19" s="5">
</c>
      <c r="AC19" s="5">
</c>
      <c r="AD19" s="5">
</c>
      <c r="AE19" s="5">
</c>
      <c r="AF19" s="5">
</c>
      <c r="AG19" s="5">
</c>
      <c r="AH19" s="5">
</c>
      <c r="AI19" s="5">
</c>
      <c r="AJ19" s="5">
</c>
      <c r="AK19" s="5">
</c>
    </row>
    <row r="20" ht="65.25" customHeight="1">
      <c r="A20" s="6" t="s">
        <v>23</v>
      </c>
      <c r="B20" s="6" t="s">
        <v>89</v>
      </c>
      <c r="C20" s="8" t="s">
        <v>90</v>
      </c>
      <c r="D20" s="9" t="s">
        <v>91</v>
      </c>
      <c r="E20" s="6" t="s">
        <v>35</v>
      </c>
      <c r="F20" s="6" t="s">
        <v>92</v>
      </c>
      <c r="G20" s="6" cm="1" t="str">
        <f t="array" ref="G20">IF(F20="","",SUBSTITUTE(SUBSTITUTE(SUBSTITUTE(SUBSTITUTE(F20,"&lt;li&gt;",CHAR(10)),"&lt;/li&gt;",""),"&lt;br&gt;",CHAR(10)),"&lt;strong&gt;",""))</f>
        <v>&lt;p&gt;05/02/2026: Intérêt manifesté pour solutions de diversification, peu de dossiers de remploi, prise de contact à planifier avec Charles. Lead créé pour équipe Ventes. Enrichissement lead impossible (email invalide). Aucune activité ou action future planifiée à ce jour.&lt;/p&gt;</v>
      </c>
      <c r="H20" s="6" cm="1" t="str">
        <f t="array" ref="H20">IF(G20="","",SUBSTITUTE(SUBSTITUTE(SUBSTITUTE(SUBSTITUTE(SUBSTITUTE(G20,"&lt;p&gt;",""),"&lt;/p&gt;",""),"&lt;ul&gt;",""),"&lt;/ul&gt;",""),"&lt;/strong&gt;",""))</f>
        <v>05/02/2026: Intérêt manifesté pour solutions de diversification, peu de dossiers de remploi, prise de contact à planifier avec Charles. Lead créé pour équipe Ventes. Enrichissement lead impossible (email invalide). Aucune activité ou action future planifiée à ce jour.</v>
      </c>
      <c r="I20" s="10" cm="1" t="str">
        <f t="array" ref="I20">IF(C20="","",IF(OR(H20="",H20=0,H20=FALSE),"-",H20))</f>
        <v>05/02/2026: Intérêt manifesté pour solutions de diversification, peu de dossiers de remploi, prise de contact à planifier avec Charles. Lead créé pour équipe Ventes. Enrichissement lead impossible (email invalide). Aucune activité ou action future planifiée à ce jour.</v>
      </c>
      <c r="J20" s="6">
</c>
      <c r="K20" s="6" t="s">
        <v>41</v>
      </c>
      <c r="L20" s="6" cm="1" t="str">
        <f t="array" ref="L20">IF(C20="","",IF(K20="Mort / Plus rien à faire","KO","OK"))</f>
        <v>OK</v>
      </c>
      <c r="M20" s="11">
        <v>46094.75241898148</v>
      </c>
      <c r="N20" s="11" cm="1" t="n">
        <f t="array" ref="N20">IF(OR(C20="",M20="",M20=0),"",M20)</f>
        <v>46094.75241898148</v>
      </c>
      <c r="O20" s="11">
</c>
      <c r="P20" s="11" cm="1" t="str">
        <f t="array" ref="P20">IF(C20="","",IF(OR(O20="",O20=0),"-",O20))</f>
        <v>-</v>
      </c>
      <c r="Q20" s="12">
        <v>0</v>
      </c>
      <c r="R20" s="6" cm="1" t="str">
        <f t="array" ref="R20">IF(C20="","",ROUND(Q20/1000000,3)&amp;" M€")</f>
        <v>0 M€</v>
      </c>
      <c r="S20" s="13">
        <v>10</v>
      </c>
      <c r="T20" s="6" cm="1" t="str">
        <f t="array" ref="T20">IF(C20="","",SUBSTITUTE(S20,"","")&amp;"%")</f>
        <v>10%</v>
      </c>
      <c r="U20" s="10" cm="1" t="str">
        <f t="array" ref="U20">IF(($N20="")*($P20=""),"",IF(($N20&lt;&gt;"")*($N20&gt;TODAY()-9)*($N20&lt;TODAY()+1)*($P20&lt;&gt;"")*($P20&gt;=TODAY())*($P20&lt;=TODAY()+13),"Semaine passée &amp; à venir",IF(($N20&lt;&gt;"")*($N20&gt;TODAY()-9)*($N20&lt;TODAY()+1),"Semaine passée",IF(($P20&lt;&gt;"")*($P20&gt;=TODAY())*($P20&lt;=TODAY()+13),"À venir","Autre"))))</f>
        <v>Autre</v>
      </c>
      <c r="V20" s="5" cm="1" t="n">
        <f t="array" ref="V20">IF(C20&lt;&gt;"",1,0)</f>
        <v>1</v>
      </c>
      <c r="W20" s="5">
</c>
      <c r="X20" s="5">
</c>
      <c r="Y20" s="5">
</c>
      <c r="Z20" s="5">
</c>
      <c r="AA20" s="5">
</c>
      <c r="AB20" s="5">
</c>
      <c r="AC20" s="5">
</c>
      <c r="AD20" s="5">
</c>
      <c r="AE20" s="5">
</c>
      <c r="AF20" s="5">
</c>
      <c r="AG20" s="5">
</c>
      <c r="AH20" s="5">
</c>
      <c r="AI20" s="5">
</c>
      <c r="AJ20" s="5">
</c>
      <c r="AK20" s="5">
</c>
    </row>
    <row r="21" ht="65.25" customHeight="1">
      <c r="A21" s="6" t="s">
        <v>23</v>
      </c>
      <c r="B21" s="6" t="s">
        <v>93</v>
      </c>
      <c r="C21" s="8" t="s">
        <v>94</v>
      </c>
      <c r="D21" s="9" t="s">
        <v>95</v>
      </c>
      <c r="E21" s="6" t="s">
        <v>50</v>
      </c>
      <c r="F21" s="6" t="s">
        <v>96</v>
      </c>
      <c r="G21" s="6" cm="1" t="str">
        <f t="array" ref="G21">IF(F21="","",SUBSTITUTE(SUBSTITUTE(SUBSTITUTE(SUBSTITUTE(F21,"&lt;li&gt;",CHAR(10)),"&lt;/li&gt;",""),"&lt;br&gt;",CHAR(10)),"&lt;strong&gt;",""))</f>
        <v>&lt;p&gt;Florian Demars quitte Linxea, Pierre Guerin reprend le PE. Sébastien transmet infos, pas de nouveau référencement prévu pour 2026, politique Linxea inchangée. Collecte PE faible, passage précomité plutôt KO, attente agrément AMF. Prochaine étape&amp;nbsp;: suivi, relance possible Pierre Guerin. Pas d'ouverture sur nouveaux fonds.&lt;/p&gt;</v>
      </c>
      <c r="H21" s="6" cm="1" t="str">
        <f t="array" ref="H21">IF(G21="","",SUBSTITUTE(SUBSTITUTE(SUBSTITUTE(SUBSTITUTE(SUBSTITUTE(G21,"&lt;p&gt;",""),"&lt;/p&gt;",""),"&lt;ul&gt;",""),"&lt;/ul&gt;",""),"&lt;/strong&gt;",""))</f>
        <v>Florian Demars quitte Linxea, Pierre Guerin reprend le PE. Sébastien transmet infos, pas de nouveau référencement prévu pour 2026, politique Linxea inchangée. Collecte PE faible, passage précomité plutôt KO, attente agrément AMF. Prochaine étape&amp;nbsp;: suivi, relance possible Pierre Guerin. Pas d'ouverture sur nouveaux fonds.</v>
      </c>
      <c r="I21" s="10" cm="1" t="str">
        <f t="array" ref="I21">IF(C21="","",IF(OR(H21="",H21=0,H21=FALSE),"-",H21))</f>
        <v>Florian Demars quitte Linxea, Pierre Guerin reprend le PE. Sébastien transmet infos, pas de nouveau référencement prévu pour 2026, politique Linxea inchangée. Collecte PE faible, passage précomité plutôt KO, attente agrément AMF. Prochaine étape&amp;nbsp;: suivi, relance possible Pierre Guerin. Pas d'ouverture sur nouveaux fonds.</v>
      </c>
      <c r="J21" s="6" t="s">
        <v>97</v>
      </c>
      <c r="K21" s="6" t="s">
        <v>83</v>
      </c>
      <c r="L21" s="6" cm="1" t="str">
        <f t="array" ref="L21">IF(C21="","",IF(K21="Mort / Plus rien à faire","KO","OK"))</f>
        <v>OK</v>
      </c>
      <c r="M21" s="11">
        <v>46112.72430555556</v>
      </c>
      <c r="N21" s="11" cm="1" t="n">
        <f t="array" ref="N21">IF(OR(C21="",M21="",M21=0),"",M21)</f>
        <v>46112.72430555556</v>
      </c>
      <c r="O21" s="11">
        <v>46296.083333333336</v>
      </c>
      <c r="P21" s="11" cm="1" t="n">
        <f t="array" ref="P21">IF(C21="","",IF(OR(O21="",O21=0),"-",O21))</f>
        <v>46296.083333333336</v>
      </c>
      <c r="Q21" s="12">
        <v>0</v>
      </c>
      <c r="R21" s="6" cm="1" t="str">
        <f t="array" ref="R21">IF(C21="","",ROUND(Q21/1000000,3)&amp;" M€")</f>
        <v>0 M€</v>
      </c>
      <c r="S21" s="13">
        <v>10</v>
      </c>
      <c r="T21" s="6" cm="1" t="str">
        <f t="array" ref="T21">IF(C21="","",SUBSTITUTE(S21,"","")&amp;"%")</f>
        <v>10%</v>
      </c>
      <c r="U21" s="10" cm="1" t="str">
        <f t="array" ref="U21">IF(($N21="")*($P21=""),"",IF(($N21&lt;&gt;"")*($N21&gt;TODAY()-9)*($N21&lt;TODAY()+1)*($P21&lt;&gt;"")*($P21&gt;=TODAY())*($P21&lt;=TODAY()+13),"Semaine passée &amp; à venir",IF(($N21&lt;&gt;"")*($N21&gt;TODAY()-9)*($N21&lt;TODAY()+1),"Semaine passée",IF(($P21&lt;&gt;"")*($P21&gt;=TODAY())*($P21&lt;=TODAY()+13),"À venir","Autre"))))</f>
        <v>Semaine passée</v>
      </c>
      <c r="V21" s="5" cm="1" t="n">
        <f t="array" ref="V21">IF(C21&lt;&gt;"",1,0)</f>
        <v>1</v>
      </c>
      <c r="W21" s="5">
</c>
      <c r="X21" s="5">
</c>
      <c r="Y21" s="5">
</c>
      <c r="Z21" s="5">
</c>
      <c r="AA21" s="5">
</c>
      <c r="AB21" s="5">
</c>
      <c r="AC21" s="5">
</c>
      <c r="AD21" s="5">
</c>
      <c r="AE21" s="5">
</c>
      <c r="AF21" s="5">
</c>
      <c r="AG21" s="5">
</c>
      <c r="AH21" s="5">
</c>
      <c r="AI21" s="5">
</c>
      <c r="AJ21" s="5">
</c>
      <c r="AK21" s="5">
</c>
    </row>
    <row r="22" ht="65.25" customHeight="1">
      <c r="A22" s="6" t="s">
        <v>23</v>
      </c>
      <c r="B22" s="6" t="s">
        <v>98</v>
      </c>
      <c r="C22" s="8" t="s">
        <v>99</v>
      </c>
      <c r="D22" s="9" t="s">
        <v>100</v>
      </c>
      <c r="E22" s="6" t="s">
        <v>35</v>
      </c>
      <c r="F22" s="6" t="s">
        <v>101</v>
      </c>
      <c r="G22" s="6" cm="1" t="str">
        <f t="array" ref="G22">IF(F22="","",SUBSTITUTE(SUBSTITUTE(SUBSTITUTE(SUBSTITUTE(F22,"&lt;li&gt;",CHAR(10)),"&lt;/li&gt;",""),"&lt;br&gt;",CHAR(10)),"&lt;strong&gt;",""))</f>
        <v>&lt;p&gt;Nouvelle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programmée.&lt;/p&gt;</v>
      </c>
      <c r="H22" s="6" cm="1" t="str">
        <f t="array" ref="H22">IF(G22="","",SUBSTITUTE(SUBSTITUTE(SUBSTITUTE(SUBSTITUTE(SUBSTITUTE(G22,"&lt;p&gt;",""),"&lt;/p&gt;",""),"&lt;ul&gt;",""),"&lt;/ul&gt;",""),"&lt;/strong&gt;",""))</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I22" s="10" cm="1" t="str">
        <f t="array" ref="I22">IF(C22="","",IF(OR(H22="",H22=0,H22=FALSE),"-",H22))</f>
        <v>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v>
      </c>
      <c r="J22" s="6">
</c>
      <c r="K22" s="6" t="s">
        <v>53</v>
      </c>
      <c r="L22" s="6" cm="1" t="str">
        <f t="array" ref="L22">IF(C22="","",IF(K22="Mort / Plus rien à faire","KO","OK"))</f>
        <v>OK</v>
      </c>
      <c r="M22" s="11">
        <v>46092.70575231482</v>
      </c>
      <c r="N22" s="11" cm="1" t="n">
        <f t="array" ref="N22">IF(OR(C22="",M22="",M22=0),"",M22)</f>
        <v>46092.70575231482</v>
      </c>
      <c r="O22" s="11">
</c>
      <c r="P22" s="11" cm="1" t="str">
        <f t="array" ref="P22">IF(C22="","",IF(OR(O22="",O22=0),"-",O22))</f>
        <v>-</v>
      </c>
      <c r="Q22" s="12">
        <v>0</v>
      </c>
      <c r="R22" s="6" cm="1" t="str">
        <f t="array" ref="R22">IF(C22="","",ROUND(Q22/1000000,3)&amp;" M€")</f>
        <v>0 M€</v>
      </c>
      <c r="S22" s="13">
        <v>10</v>
      </c>
      <c r="T22" s="6" cm="1" t="str">
        <f t="array" ref="T22">IF(C22="","",SUBSTITUTE(S22,"","")&amp;"%")</f>
        <v>10%</v>
      </c>
      <c r="U22" s="10" cm="1" t="str">
        <f t="array" ref="U22">IF(($N22="")*($P22=""),"",IF(($N22&lt;&gt;"")*($N22&gt;TODAY()-9)*($N22&lt;TODAY()+1)*($P22&lt;&gt;"")*($P22&gt;=TODAY())*($P22&lt;=TODAY()+13),"Semaine passée &amp; à venir",IF(($N22&lt;&gt;"")*($N22&gt;TODAY()-9)*($N22&lt;TODAY()+1),"Semaine passée",IF(($P22&lt;&gt;"")*($P22&gt;=TODAY())*($P22&lt;=TODAY()+13),"À venir","Autre"))))</f>
        <v>Autre</v>
      </c>
      <c r="V22" s="5" cm="1" t="n">
        <f t="array" ref="V22">IF(C22&lt;&gt;"",1,0)</f>
        <v>1</v>
      </c>
      <c r="W22" s="5">
</c>
      <c r="X22" s="5">
</c>
      <c r="Y22" s="5">
</c>
      <c r="Z22" s="5">
</c>
      <c r="AA22" s="5">
</c>
      <c r="AB22" s="5">
</c>
      <c r="AC22" s="5">
</c>
      <c r="AD22" s="5">
</c>
      <c r="AE22" s="5">
</c>
      <c r="AF22" s="5">
</c>
      <c r="AG22" s="5">
</c>
      <c r="AH22" s="5">
</c>
      <c r="AI22" s="5">
</c>
      <c r="AJ22" s="5">
</c>
      <c r="AK22" s="5">
</c>
    </row>
    <row r="23" ht="65.25" customHeight="1">
      <c r="A23" s="6" t="s">
        <v>23</v>
      </c>
      <c r="B23" s="6" t="s">
        <v>102</v>
      </c>
      <c r="C23" s="8" t="s">
        <v>103</v>
      </c>
      <c r="D23" s="9" t="s">
        <v>104</v>
      </c>
      <c r="E23" s="6" t="s">
        <v>50</v>
      </c>
      <c r="F23" s="6" t="s">
        <v>105</v>
      </c>
      <c r="G23" s="6" cm="1" t="str">
        <f t="array" ref="G23">IF(F23="","",SUBSTITUTE(SUBSTITUTE(SUBSTITUTE(SUBSTITUTE(F23,"&lt;li&gt;",CHAR(10)),"&lt;/li&gt;",""),"&lt;br&gt;",CHAR(10)),"&lt;strong&gt;",""))</f>
        <v>&lt;p&gt;RDV physique 20 mars : prospect Thierry Campoy Heneaux, FO à l’anglaise, focus Immo, Champagne, MedTech, Pharmacie. Pas d’intérêt pour fonds de venture, offre jugée inadaptée. Conclusion : à relancer en 2027. Pas de co-invest VC, préférence direct ou Straton, AUDACIA non. Pas d’autres actions prévues.&lt;/p&gt;</v>
      </c>
      <c r="H23" s="6" cm="1" t="str">
        <f t="array" ref="H23">IF(G23="","",SUBSTITUTE(SUBSTITUTE(SUBSTITUTE(SUBSTITUTE(SUBSTITUTE(G23,"&lt;p&gt;",""),"&lt;/p&gt;",""),"&lt;ul&gt;",""),"&lt;/ul&gt;",""),"&lt;/strong&gt;",""))</f>
        <v>RDV physique 20 mars : prospect Thierry Campoy Heneaux, FO à l’anglaise, focus Immo, Champagne, MedTech, Pharmacie. Pas d’intérêt pour fonds de venture, offre jugée inadaptée. Conclusion : à relancer en 2027. Pas de co-invest VC, préférence direct ou Straton, AUDACIA non. Pas d’autres actions prévues.</v>
      </c>
      <c r="I23" s="10" cm="1" t="str">
        <f t="array" ref="I23">IF(C23="","",IF(OR(H23="",H23=0,H23=FALSE),"-",H23))</f>
        <v>RDV physique 20 mars : prospect Thierry Campoy Heneaux, FO à l’anglaise, focus Immo, Champagne, MedTech, Pharmacie. Pas d’intérêt pour fonds de venture, offre jugée inadaptée. Conclusion : à relancer en 2027. Pas de co-invest VC, préférence direct ou Straton, AUDACIA non. Pas d’autres actions prévues.</v>
      </c>
      <c r="J23" s="6" t="s">
        <v>106</v>
      </c>
      <c r="K23" s="6" t="s">
        <v>83</v>
      </c>
      <c r="L23" s="6" cm="1" t="str">
        <f t="array" ref="L23">IF(C23="","",IF(K23="Mort / Plus rien à faire","KO","OK"))</f>
        <v>OK</v>
      </c>
      <c r="M23" s="11">
        <v>46114.71325231482</v>
      </c>
      <c r="N23" s="11" cm="1" t="n">
        <f t="array" ref="N23">IF(OR(C23="",M23="",M23=0),"",M23)</f>
        <v>46114.71325231482</v>
      </c>
      <c r="O23" s="11">
        <v>46398.041666666664</v>
      </c>
      <c r="P23" s="11" cm="1" t="n">
        <f t="array" ref="P23">IF(C23="","",IF(OR(O23="",O23=0),"-",O23))</f>
        <v>46398.041666666664</v>
      </c>
      <c r="Q23" s="12">
        <v>0</v>
      </c>
      <c r="R23" s="6" cm="1" t="str">
        <f t="array" ref="R23">IF(C23="","",ROUND(Q23/1000000,3)&amp;" M€")</f>
        <v>0 M€</v>
      </c>
      <c r="S23" s="13">
        <v>10</v>
      </c>
      <c r="T23" s="6" cm="1" t="str">
        <f t="array" ref="T23">IF(C23="","",SUBSTITUTE(S23,"","")&amp;"%")</f>
        <v>10%</v>
      </c>
      <c r="U23" s="10" cm="1" t="str">
        <f t="array" ref="U23">IF(($N23="")*($P23=""),"",IF(($N23&lt;&gt;"")*($N23&gt;TODAY()-9)*($N23&lt;TODAY()+1)*($P23&lt;&gt;"")*($P23&gt;=TODAY())*($P23&lt;=TODAY()+13),"Semaine passée &amp; à venir",IF(($N23&lt;&gt;"")*($N23&gt;TODAY()-9)*($N23&lt;TODAY()+1),"Semaine passée",IF(($P23&lt;&gt;"")*($P23&gt;=TODAY())*($P23&lt;=TODAY()+13),"À venir","Autre"))))</f>
        <v>Semaine passée</v>
      </c>
      <c r="V23" s="5" cm="1" t="n">
        <f t="array" ref="V23">IF(C23&lt;&gt;"",1,0)</f>
        <v>1</v>
      </c>
      <c r="W23" s="5">
</c>
      <c r="X23" s="5">
</c>
      <c r="Y23" s="5">
</c>
      <c r="Z23" s="5">
</c>
      <c r="AA23" s="5">
</c>
      <c r="AB23" s="5">
</c>
      <c r="AC23" s="5">
</c>
      <c r="AD23" s="5">
</c>
      <c r="AE23" s="5">
</c>
      <c r="AF23" s="5">
</c>
      <c r="AG23" s="5">
</c>
      <c r="AH23" s="5">
</c>
      <c r="AI23" s="5">
</c>
      <c r="AJ23" s="5">
</c>
      <c r="AK23" s="5">
</c>
    </row>
    <row r="24" ht="65.25" customHeight="1">
      <c r="A24" s="6" t="s">
        <v>23</v>
      </c>
      <c r="B24" s="6" t="s">
        <v>24</v>
      </c>
      <c r="C24" s="8" t="s">
        <v>107</v>
      </c>
      <c r="D24" s="9" t="s">
        <v>108</v>
      </c>
      <c r="E24" s="6" t="s">
        <v>35</v>
      </c>
      <c r="F24" s="6" t="s">
        <v>109</v>
      </c>
      <c r="G24" s="6" cm="1" t="str">
        <f t="array" ref="G24">IF(F24="","",SUBSTITUTE(SUBSTITUTE(SUBSTITUTE(SUBSTITUTE(F24,"&lt;li&gt;",CHAR(10)),"&lt;/li&gt;",""),"&lt;br&gt;",CHAR(10)),"&lt;strong&gt;",""))</f>
        <v>&lt;p&gt;Call 12/03 avec Corinne Vigouroux, présentation offre FCPi avec Gérant. Mail envoyé pour proposer dates de suivi en avril. Pas de retour prospect sur l'offre pour l'instant, attente de réponse pour fixer prochain RDV. Aucune autre activité ou retour mentionné à ce stade.&lt;/p&gt;</v>
      </c>
      <c r="H24" s="6" cm="1" t="str">
        <f t="array" ref="H24">IF(G24="","",SUBSTITUTE(SUBSTITUTE(SUBSTITUTE(SUBSTITUTE(SUBSTITUTE(G24,"&lt;p&gt;",""),"&lt;/p&gt;",""),"&lt;ul&gt;",""),"&lt;/ul&gt;",""),"&lt;/strong&gt;",""))</f>
        <v>Call 12/03 avec Corinne Vigouroux, présentation offre FCPi avec Gérant. Mail envoyé pour proposer dates de suivi en avril. Pas de retour prospect sur l'offre pour l'instant, attente de réponse pour fixer prochain RDV. Aucune autre activité ou retour mentionné à ce stade.</v>
      </c>
      <c r="I24" s="10" cm="1" t="str">
        <f t="array" ref="I24">IF(C24="","",IF(OR(H24="",H24=0,H24=FALSE),"-",H24))</f>
        <v>Call 12/03 avec Corinne Vigouroux, présentation offre FCPi avec Gérant. Mail envoyé pour proposer dates de suivi en avril. Pas de retour prospect sur l'offre pour l'instant, attente de réponse pour fixer prochain RDV. Aucune autre activité ou retour mentionné à ce stade.</v>
      </c>
      <c r="J24" s="6" t="s">
        <v>110</v>
      </c>
      <c r="K24" s="6" t="s">
        <v>41</v>
      </c>
      <c r="L24" s="6" cm="1" t="str">
        <f t="array" ref="L24">IF(C24="","",IF(K24="Mort / Plus rien à faire","KO","OK"))</f>
        <v>OK</v>
      </c>
      <c r="M24" s="11">
        <v>46094.75641203704</v>
      </c>
      <c r="N24" s="11" cm="1" t="n">
        <f t="array" ref="N24">IF(OR(C24="",M24="",M24=0),"",M24)</f>
        <v>46094.75641203704</v>
      </c>
      <c r="O24" s="11">
</c>
      <c r="P24" s="11" cm="1" t="str">
        <f t="array" ref="P24">IF(C24="","",IF(OR(O24="",O24=0),"-",O24))</f>
        <v>-</v>
      </c>
      <c r="Q24" s="12">
        <v>0</v>
      </c>
      <c r="R24" s="6" cm="1" t="str">
        <f t="array" ref="R24">IF(C24="","",ROUND(Q24/1000000,3)&amp;" M€")</f>
        <v>0 M€</v>
      </c>
      <c r="S24" s="13">
        <v>10</v>
      </c>
      <c r="T24" s="6" cm="1" t="str">
        <f t="array" ref="T24">IF(C24="","",SUBSTITUTE(S24,"","")&amp;"%")</f>
        <v>10%</v>
      </c>
      <c r="U24" s="10"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c r="AK24" s="5">
</c>
    </row>
    <row r="25" ht="65.25" customHeight="1">
      <c r="A25" s="6" t="s">
        <v>23</v>
      </c>
      <c r="B25" s="6">
</c>
      <c r="C25" s="8" t="s">
        <v>111</v>
      </c>
      <c r="D25" s="9" t="s">
        <v>112</v>
      </c>
      <c r="E25" s="6" t="s">
        <v>35</v>
      </c>
      <c r="F25" s="6" t="s">
        <v>113</v>
      </c>
      <c r="G25" s="6" cm="1" t="str">
        <f t="array" ref="G25">IF(F25="","",SUBSTITUTE(SUBSTITUTE(SUBSTITUTE(SUBSTITUTE(F25,"&lt;li&gt;",CHAR(10)),"&lt;/li&gt;",""),"&lt;br&gt;",CHAR(10)),"&lt;strong&gt;",""))</f>
        <v>&lt;p&gt;Appel relance Teams avec gérant FCPI le 30/03, échange noté, pas de retour détaillé du prospect sur les fonds. Nouvelle piste créée pour équipe Ventes le 13/03. Prochaine étape : suivi relance avec gérant FCPI. Pas d'autres actions ou retours prospect mentionnés.&lt;/p&gt;</v>
      </c>
      <c r="H25" s="6" cm="1" t="str">
        <f t="array" ref="H25">IF(G25="","",SUBSTITUTE(SUBSTITUTE(SUBSTITUTE(SUBSTITUTE(SUBSTITUTE(G25,"&lt;p&gt;",""),"&lt;/p&gt;",""),"&lt;ul&gt;",""),"&lt;/ul&gt;",""),"&lt;/strong&gt;",""))</f>
        <v>Appel relance Teams avec gérant FCPI le 30/03, échange noté, pas de retour détaillé du prospect sur les fonds. Nouvelle piste créée pour équipe Ventes le 13/03. Prochaine étape : suivi relance avec gérant FCPI. Pas d'autres actions ou retours prospect mentionnés.</v>
      </c>
      <c r="I25" s="10" cm="1" t="str">
        <f t="array" ref="I25">IF(C25="","",IF(OR(H25="",H25=0,H25=FALSE),"-",H25))</f>
        <v>Appel relance Teams avec gérant FCPI le 30/03, échange noté, pas de retour détaillé du prospect sur les fonds. Nouvelle piste créée pour équipe Ventes le 13/03. Prochaine étape : suivi relance avec gérant FCPI. Pas d'autres actions ou retours prospect mentionnés.</v>
      </c>
      <c r="J25" s="6">
</c>
      <c r="K25" s="6" t="s">
        <v>41</v>
      </c>
      <c r="L25" s="6" cm="1" t="str">
        <f t="array" ref="L25">IF(C25="","",IF(K25="Mort / Plus rien à faire","KO","OK"))</f>
        <v>OK</v>
      </c>
      <c r="M25" s="11">
        <v>46111.5971412037</v>
      </c>
      <c r="N25" s="11" cm="1" t="n">
        <f t="array" ref="N25">IF(OR(C25="",M25="",M25=0),"",M25)</f>
        <v>46111.5971412037</v>
      </c>
      <c r="O25" s="11">
</c>
      <c r="P25" s="11" cm="1" t="str">
        <f t="array" ref="P25">IF(C25="","",IF(OR(O25="",O25=0),"-",O25))</f>
        <v>-</v>
      </c>
      <c r="Q25" s="12">
        <v>0</v>
      </c>
      <c r="R25" s="6" cm="1" t="str">
        <f t="array" ref="R25">IF(C25="","",ROUND(Q25/1000000,3)&amp;" M€")</f>
        <v>0 M€</v>
      </c>
      <c r="S25" s="13">
        <v>10</v>
      </c>
      <c r="T25" s="6" cm="1" t="str">
        <f t="array" ref="T25">IF(C25="","",SUBSTITUTE(S25,"","")&amp;"%")</f>
        <v>10%</v>
      </c>
      <c r="U25" s="10" cm="1" t="str">
        <f t="array" ref="U25">IF(($N25="")*($P25=""),"",IF(($N25&lt;&gt;"")*($N25&gt;TODAY()-9)*($N25&lt;TODAY()+1)*($P25&lt;&gt;"")*($P25&gt;=TODAY())*($P25&lt;=TODAY()+13),"Semaine passée &amp; à venir",IF(($N25&lt;&gt;"")*($N25&gt;TODAY()-9)*($N25&lt;TODAY()+1),"Semaine passée",IF(($P25&lt;&gt;"")*($P25&gt;=TODAY())*($P25&lt;=TODAY()+13),"À venir","Autre"))))</f>
        <v>Semaine passée</v>
      </c>
      <c r="V25" s="5" cm="1" t="n">
        <f t="array" ref="V25">IF(C25&lt;&gt;"",1,0)</f>
        <v>1</v>
      </c>
      <c r="W25" s="5">
</c>
      <c r="X25" s="5">
</c>
      <c r="Y25" s="5">
</c>
      <c r="Z25" s="5">
</c>
      <c r="AA25" s="5">
</c>
      <c r="AB25" s="5">
</c>
      <c r="AC25" s="5">
</c>
      <c r="AD25" s="5">
</c>
      <c r="AE25" s="5">
</c>
      <c r="AF25" s="5">
</c>
      <c r="AG25" s="5">
</c>
      <c r="AH25" s="5">
</c>
      <c r="AI25" s="5">
</c>
      <c r="AJ25" s="5">
</c>
      <c r="AK25" s="5">
</c>
    </row>
    <row r="26" ht="65.25" customHeight="1">
      <c r="A26" s="6" t="s">
        <v>23</v>
      </c>
      <c r="B26" s="6" t="s">
        <v>24</v>
      </c>
      <c r="C26" s="8" t="s">
        <v>114</v>
      </c>
      <c r="D26" s="9" t="s">
        <v>115</v>
      </c>
      <c r="E26" s="6" t="s">
        <v>35</v>
      </c>
      <c r="F26" s="6" t="s">
        <v>116</v>
      </c>
      <c r="G26" s="6" cm="1" t="str">
        <f t="array" ref="G26">IF(F26="","",SUBSTITUTE(SUBSTITUTE(SUBSTITUTE(SUBSTITUTE(F26,"&lt;li&gt;",CHAR(10)),"&lt;/li&gt;",""),"&lt;br&gt;",CHAR(10)),"&lt;strong&gt;",""))</f>
        <v>&lt;p&gt;Appel avec Michel Hollander, Stanislas Guerrin et Alban Ardin à mettre en copie pour organiser RDV avec Gérant FCPI. Nouvelle piste créée pour équipe Ventes. Prochaine étape : fixer dates avec le gérant. Pas d'autres retours ou conclusions prospects mentionnés à ce stade.&lt;/p&gt;</v>
      </c>
      <c r="H26" s="6" cm="1" t="str">
        <f t="array" ref="H26">IF(G26="","",SUBSTITUTE(SUBSTITUTE(SUBSTITUTE(SUBSTITUTE(SUBSTITUTE(G26,"&lt;p&gt;",""),"&lt;/p&gt;",""),"&lt;ul&gt;",""),"&lt;/ul&gt;",""),"&lt;/strong&gt;",""))</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I26" s="10" cm="1" t="str">
        <f t="array" ref="I26">IF(C26="","",IF(OR(H26="",H26=0,H26=FALSE),"-",H26))</f>
        <v>Appel avec Michel Hollander, Stanislas Guerrin et Alban Ardin à mettre en copie pour organiser RDV avec Gérant FCPI. Nouvelle piste créée pour équipe Ventes. Prochaine étape : fixer dates avec le gérant. Pas d'autres retours ou conclusions prospects mentionnés à ce stade.</v>
      </c>
      <c r="J26" s="6">
</c>
      <c r="K26" s="6" t="s">
        <v>41</v>
      </c>
      <c r="L26" s="6" cm="1" t="str">
        <f t="array" ref="L26">IF(C26="","",IF(K26="Mort / Plus rien à faire","KO","OK"))</f>
        <v>OK</v>
      </c>
      <c r="M26" s="11">
        <v>46094.76116898148</v>
      </c>
      <c r="N26" s="11" cm="1" t="n">
        <f t="array" ref="N26">IF(OR(C26="",M26="",M26=0),"",M26)</f>
        <v>46094.76116898148</v>
      </c>
      <c r="O26" s="11">
</c>
      <c r="P26" s="11" cm="1" t="str">
        <f t="array" ref="P26">IF(C26="","",IF(OR(O26="",O26=0),"-",O26))</f>
        <v>-</v>
      </c>
      <c r="Q26" s="12">
        <v>0</v>
      </c>
      <c r="R26" s="6" cm="1" t="str">
        <f t="array" ref="R26">IF(C26="","",ROUND(Q26/1000000,3)&amp;" M€")</f>
        <v>0 M€</v>
      </c>
      <c r="S26" s="13">
        <v>10</v>
      </c>
      <c r="T26" s="6" cm="1" t="str">
        <f t="array" ref="T26">IF(C26="","",SUBSTITUTE(S26,"","")&amp;"%")</f>
        <v>10%</v>
      </c>
      <c r="U26" s="10" cm="1" t="str">
        <f t="array" ref="U26">IF(($N26="")*($P26=""),"",IF(($N26&lt;&gt;"")*($N26&gt;TODAY()-9)*($N26&lt;TODAY()+1)*($P26&lt;&gt;"")*($P26&gt;=TODAY())*($P26&lt;=TODAY()+13),"Semaine passée &amp; à venir",IF(($N26&lt;&gt;"")*($N26&gt;TODAY()-9)*($N26&lt;TODAY()+1),"Semaine passée",IF(($P26&lt;&gt;"")*($P26&gt;=TODAY())*($P26&lt;=TODAY()+13),"À venir","Autre"))))</f>
        <v>Autre</v>
      </c>
      <c r="V26" s="5" cm="1" t="n">
        <f t="array" ref="V26">IF(C26&lt;&gt;"",1,0)</f>
        <v>1</v>
      </c>
      <c r="W26" s="5">
</c>
      <c r="X26" s="5">
</c>
      <c r="Y26" s="5">
</c>
      <c r="Z26" s="5">
</c>
      <c r="AA26" s="5">
</c>
      <c r="AB26" s="5">
</c>
      <c r="AC26" s="5">
</c>
      <c r="AD26" s="5">
</c>
      <c r="AE26" s="5">
</c>
      <c r="AF26" s="5">
</c>
      <c r="AG26" s="5">
</c>
      <c r="AH26" s="5">
</c>
      <c r="AI26" s="5">
</c>
      <c r="AJ26" s="5">
</c>
      <c r="AK26" s="5">
</c>
    </row>
    <row r="27" ht="65.25" customHeight="1">
      <c r="A27" s="6" t="s">
        <v>23</v>
      </c>
      <c r="B27" s="6" t="s">
        <v>89</v>
      </c>
      <c r="C27" s="8" t="s">
        <v>117</v>
      </c>
      <c r="D27" s="9" t="s">
        <v>118</v>
      </c>
      <c r="E27" s="6" t="s">
        <v>35</v>
      </c>
      <c r="F27" s="6" t="s">
        <v>119</v>
      </c>
      <c r="G27" s="6" cm="1" t="str">
        <f t="array" ref="G27">IF(F27="","",SUBSTITUTE(SUBSTITUTE(SUBSTITUTE(SUBSTITUTE(F27,"&lt;li&gt;",CHAR(10)),"&lt;/li&gt;",""),"&lt;br&gt;",CHAR(10)),"&lt;strong&gt;",""))</f>
        <v>&lt;p&gt;Relance mail envoyée le 13/03 pour prise de RDV présentation Audacia et gérant FCPI. Nouvelle piste créée pour équipe Ventes. Pas d'autres échanges, appels ou retours mentionnés. Prochaine étape : attendre retour pour fixer RDV. Aucun retour prospect sur fonds à ce stade.&lt;/p&gt;</v>
      </c>
      <c r="H27" s="6" cm="1" t="str">
        <f t="array" ref="H27">IF(G27="","",SUBSTITUTE(SUBSTITUTE(SUBSTITUTE(SUBSTITUTE(SUBSTITUTE(G27,"&lt;p&gt;",""),"&lt;/p&gt;",""),"&lt;ul&gt;",""),"&lt;/ul&gt;",""),"&lt;/strong&gt;",""))</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I27" s="10" cm="1" t="str">
        <f t="array" ref="I27">IF(C27="","",IF(OR(H27="",H27=0,H27=FALSE),"-",H27))</f>
        <v>Relance mail envoyée le 13/03 pour prise de RDV présentation Audacia et gérant FCPI. Nouvelle piste créée pour équipe Ventes. Pas d'autres échanges, appels ou retours mentionnés. Prochaine étape : attendre retour pour fixer RDV. Aucun retour prospect sur fonds à ce stade.</v>
      </c>
      <c r="J27" s="6">
</c>
      <c r="K27" s="6" t="s">
        <v>41</v>
      </c>
      <c r="L27" s="6" cm="1" t="str">
        <f t="array" ref="L27">IF(C27="","",IF(K27="Mort / Plus rien à faire","KO","OK"))</f>
        <v>OK</v>
      </c>
      <c r="M27" s="11">
        <v>46094.76453703704</v>
      </c>
      <c r="N27" s="11" cm="1" t="n">
        <f t="array" ref="N27">IF(OR(C27="",M27="",M27=0),"",M27)</f>
        <v>46094.76453703704</v>
      </c>
      <c r="O27" s="11">
</c>
      <c r="P27" s="11" cm="1" t="str">
        <f t="array" ref="P27">IF(C27="","",IF(OR(O27="",O27=0),"-",O27))</f>
        <v>-</v>
      </c>
      <c r="Q27" s="12">
        <v>0</v>
      </c>
      <c r="R27" s="6" cm="1" t="str">
        <f t="array" ref="R27">IF(C27="","",ROUND(Q27/1000000,3)&amp;" M€")</f>
        <v>0 M€</v>
      </c>
      <c r="S27" s="13">
        <v>10</v>
      </c>
      <c r="T27" s="6" cm="1" t="str">
        <f t="array" ref="T27">IF(C27="","",SUBSTITUTE(S27,"","")&amp;"%")</f>
        <v>10%</v>
      </c>
      <c r="U27" s="10" cm="1" t="str">
        <f t="array" ref="U27">IF(($N27="")*($P27=""),"",IF(($N27&lt;&gt;"")*($N27&gt;TODAY()-9)*($N27&lt;TODAY()+1)*($P27&lt;&gt;"")*($P27&gt;=TODAY())*($P27&lt;=TODAY()+13),"Semaine passée &amp; à venir",IF(($N27&lt;&gt;"")*($N27&gt;TODAY()-9)*($N27&lt;TODAY()+1),"Semaine passée",IF(($P27&lt;&gt;"")*($P27&gt;=TODAY())*($P27&lt;=TODAY()+13),"À venir","Autre"))))</f>
        <v>Autre</v>
      </c>
      <c r="V27" s="5" cm="1" t="n">
        <f t="array" ref="V27">IF(C27&lt;&gt;"",1,0)</f>
        <v>1</v>
      </c>
      <c r="W27" s="5">
</c>
      <c r="X27" s="5">
</c>
      <c r="Y27" s="5">
</c>
      <c r="Z27" s="5">
</c>
      <c r="AA27" s="5">
</c>
      <c r="AB27" s="5">
</c>
      <c r="AC27" s="5">
</c>
      <c r="AD27" s="5">
</c>
      <c r="AE27" s="5">
</c>
      <c r="AF27" s="5">
</c>
      <c r="AG27" s="5">
</c>
      <c r="AH27" s="5">
</c>
      <c r="AI27" s="5">
</c>
      <c r="AJ27" s="5">
</c>
      <c r="AK27" s="5">
</c>
    </row>
    <row r="28" ht="65.25" customHeight="1">
      <c r="A28" s="6" t="s">
        <v>23</v>
      </c>
      <c r="B28" s="6" t="s">
        <v>89</v>
      </c>
      <c r="C28" s="8" t="s">
        <v>120</v>
      </c>
      <c r="D28" s="9" t="s">
        <v>121</v>
      </c>
      <c r="E28" s="6" t="s">
        <v>50</v>
      </c>
      <c r="F28" s="6" t="s">
        <v>122</v>
      </c>
      <c r="G28" s="6" cm="1" t="str">
        <f t="array" ref="G28">IF(F28="","",SUBSTITUTE(SUBSTITUTE(SUBSTITUTE(SUBSTITUTE(F28,"&lt;li&gt;",CHAR(10)),"&lt;/li&gt;",""),"&lt;br&gt;",CHAR(10)),"&lt;strong&gt;",""))</f>
        <v>&lt;p&gt;Aucune activité ni échange significatif enregistré sur cette opportunité à ce jour. Nouvelle piste créée pour l'équipe Ventes par Romain Andrieu, aucune action de suivi ou interaction supplémentaire identifiée. Pas d'étape ou de conclusion prospect mentionnée dans les données disponibles.&lt;/p&gt;</v>
      </c>
      <c r="H28" s="6" cm="1" t="str">
        <f t="array" ref="H28">IF(G28="","",SUBSTITUTE(SUBSTITUTE(SUBSTITUTE(SUBSTITUTE(SUBSTITUTE(G28,"&lt;p&gt;",""),"&lt;/p&gt;",""),"&lt;ul&gt;",""),"&lt;/ul&gt;",""),"&lt;/strong&gt;",""))</f>
        <v>Aucune activité ni échange significatif enregistré sur cette opportunité à ce jour. Nouvelle piste créée pour l'équipe Ventes par Romain Andrieu, aucune action de suivi ou interaction supplémentaire identifiée. Pas d'étape ou de conclusion prospect mentionnée dans les données disponibles.</v>
      </c>
      <c r="I28" s="10" cm="1" t="str">
        <f t="array" ref="I28">IF(C28="","",IF(OR(H28="",H28=0,H28=FALSE),"-",H28))</f>
        <v>Aucune activité ni échange significatif enregistré sur cette opportunité à ce jour. Nouvelle piste créée pour l'équipe Ventes par Romain Andrieu, aucune action de suivi ou interaction supplémentaire identifiée. Pas d'étape ou de conclusion prospect mentionnée dans les données disponibles.</v>
      </c>
      <c r="J28" s="6">
</c>
      <c r="K28" s="6" t="s">
        <v>53</v>
      </c>
      <c r="L28" s="6" cm="1" t="str">
        <f t="array" ref="L28">IF(C28="","",IF(K28="Mort / Plus rien à faire","KO","OK"))</f>
        <v>OK</v>
      </c>
      <c r="M28" s="11">
        <v>46096.69138888889</v>
      </c>
      <c r="N28" s="11" cm="1" t="n">
        <f t="array" ref="N28">IF(OR(C28="",M28="",M28=0),"",M28)</f>
        <v>46096.69138888889</v>
      </c>
      <c r="O28" s="11">
</c>
      <c r="P28" s="11" cm="1" t="str">
        <f t="array" ref="P28">IF(C28="","",IF(OR(O28="",O28=0),"-",O28))</f>
        <v>-</v>
      </c>
      <c r="Q28" s="12">
        <v>0</v>
      </c>
      <c r="R28" s="6" cm="1" t="str">
        <f t="array" ref="R28">IF(C28="","",ROUND(Q28/1000000,3)&amp;" M€")</f>
        <v>0 M€</v>
      </c>
      <c r="S28" s="13">
        <v>10</v>
      </c>
      <c r="T28" s="6" cm="1" t="str">
        <f t="array" ref="T28">IF(C28="","",SUBSTITUTE(S28,"","")&amp;"%")</f>
        <v>10%</v>
      </c>
      <c r="U28" s="10" cm="1" t="str">
        <f t="array" ref="U28">IF(($N28="")*($P28=""),"",IF(($N28&lt;&gt;"")*($N28&gt;TODAY()-9)*($N28&lt;TODAY()+1)*($P28&lt;&gt;"")*($P28&gt;=TODAY())*($P28&lt;=TODAY()+13),"Semaine passée &amp; à venir",IF(($N28&lt;&gt;"")*($N28&gt;TODAY()-9)*($N28&lt;TODAY()+1),"Semaine passée",IF(($P28&lt;&gt;"")*($P28&gt;=TODAY())*($P28&lt;=TODAY()+13),"À venir","Autre"))))</f>
        <v>Autre</v>
      </c>
      <c r="V28" s="5" cm="1" t="n">
        <f t="array" ref="V28">IF(C28&lt;&gt;"",1,0)</f>
        <v>1</v>
      </c>
      <c r="W28" s="5">
</c>
      <c r="X28" s="5">
</c>
      <c r="Y28" s="5">
</c>
      <c r="Z28" s="5">
</c>
      <c r="AA28" s="5">
</c>
      <c r="AB28" s="5">
</c>
      <c r="AC28" s="5">
</c>
      <c r="AD28" s="5">
</c>
      <c r="AE28" s="5">
</c>
      <c r="AF28" s="5">
</c>
      <c r="AG28" s="5">
</c>
      <c r="AH28" s="5">
</c>
      <c r="AI28" s="5">
</c>
      <c r="AJ28" s="5">
</c>
      <c r="AK28" s="5">
</c>
    </row>
    <row r="29" ht="65.25" customHeight="1">
      <c r="A29" s="6" t="s">
        <v>23</v>
      </c>
      <c r="B29" s="6" t="s">
        <v>47</v>
      </c>
      <c r="C29" s="8" t="s">
        <v>123</v>
      </c>
      <c r="D29" s="9" t="s">
        <v>124</v>
      </c>
      <c r="E29" s="6" t="s">
        <v>50</v>
      </c>
      <c r="F29" s="6" t="s">
        <v>125</v>
      </c>
      <c r="G29" s="6" cm="1" t="str">
        <f t="array" ref="G29">IF(F29="","",SUBSTITUTE(SUBSTITUTE(SUBSTITUTE(SUBSTITUTE(F29,"&lt;li&gt;",CHAR(10)),"&lt;/li&gt;",""),"&lt;br&gt;",CHAR(10)),"&lt;strong&gt;",""))</f>
        <v>&lt;p&gt;RDV physique terminé, Madame Pinot a répondu à Cedric James, refus du référencement. Relance prévue en 2027 pour Patricia Pinot concernant le référencement. Pas d'autres actions prévues à court terme. Objectif futur&amp;nbsp;: pousser le référencement et travailler l'offre transgénérationnelle.&lt;/p&gt;</v>
      </c>
      <c r="H29" s="6" cm="1" t="str">
        <f t="array" ref="H29">IF(G29="","",SUBSTITUTE(SUBSTITUTE(SUBSTITUTE(SUBSTITUTE(SUBSTITUTE(G29,"&lt;p&gt;",""),"&lt;/p&gt;",""),"&lt;ul&gt;",""),"&lt;/ul&gt;",""),"&lt;/strong&gt;",""))</f>
        <v>RDV physique terminé, Madame Pinot a répondu à Cedric James, refus du référencement. Relance prévue en 2027 pour Patricia Pinot concernant le référencement. Pas d'autres actions prévues à court terme. Objectif futur&amp;nbsp;: pousser le référencement et travailler l'offre transgénérationnelle.</v>
      </c>
      <c r="I29" s="10" cm="1" t="str">
        <f t="array" ref="I29">IF(C29="","",IF(OR(H29="",H29=0,H29=FALSE),"-",H29))</f>
        <v>RDV physique terminé, Madame Pinot a répondu à Cedric James, refus du référencement. Relance prévue en 2027 pour Patricia Pinot concernant le référencement. Pas d'autres actions prévues à court terme. Objectif futur&amp;nbsp;: pousser le référencement et travailler l'offre transgénérationnelle.</v>
      </c>
      <c r="J29" s="6" t="s">
        <v>126</v>
      </c>
      <c r="K29" s="6" t="s">
        <v>127</v>
      </c>
      <c r="L29" s="6" cm="1" t="str">
        <f t="array" ref="L29">IF(C29="","",IF(K29="Mort / Plus rien à faire","KO","OK"))</f>
        <v>KO</v>
      </c>
      <c r="M29" s="11">
        <v>46093.7171875</v>
      </c>
      <c r="N29" s="11" cm="1" t="n">
        <f t="array" ref="N29">IF(OR(C29="",M29="",M29=0),"",M29)</f>
        <v>46093.7171875</v>
      </c>
      <c r="O29" s="11">
        <v>46388.041666666664</v>
      </c>
      <c r="P29" s="11" cm="1" t="n">
        <f t="array" ref="P29">IF(C29="","",IF(OR(O29="",O29=0),"-",O29))</f>
        <v>46388.041666666664</v>
      </c>
      <c r="Q29" s="12">
        <v>0</v>
      </c>
      <c r="R29" s="6" cm="1" t="str">
        <f t="array" ref="R29">IF(C29="","",ROUND(Q29/1000000,3)&amp;" M€")</f>
        <v>0 M€</v>
      </c>
      <c r="S29" s="13">
        <v>0</v>
      </c>
      <c r="T29" s="6" cm="1" t="str">
        <f t="array" ref="T29">IF(C29="","",SUBSTITUTE(S29,"","")&amp;"%")</f>
        <v>0%</v>
      </c>
      <c r="U29" s="10" cm="1" t="str">
        <f t="array" ref="U29">IF(($N29="")*($P29=""),"",IF(($N29&lt;&gt;"")*($N29&gt;TODAY()-9)*($N29&lt;TODAY()+1)*($P29&lt;&gt;"")*($P29&gt;=TODAY())*($P29&lt;=TODAY()+13),"Semaine passée &amp; à venir",IF(($N29&lt;&gt;"")*($N29&gt;TODAY()-9)*($N29&lt;TODAY()+1),"Semaine passée",IF(($P29&lt;&gt;"")*($P29&gt;=TODAY())*($P29&lt;=TODAY()+13),"À venir","Autre"))))</f>
        <v>Autre</v>
      </c>
      <c r="V29" s="5" cm="1" t="n">
        <f t="array" ref="V29">IF(C29&lt;&gt;"",1,0)</f>
        <v>1</v>
      </c>
      <c r="W29" s="5">
</c>
      <c r="X29" s="5">
</c>
      <c r="Y29" s="5">
</c>
      <c r="Z29" s="5">
</c>
      <c r="AA29" s="5">
</c>
      <c r="AB29" s="5">
</c>
      <c r="AC29" s="5">
</c>
      <c r="AD29" s="5">
</c>
      <c r="AE29" s="5">
</c>
      <c r="AF29" s="5">
</c>
      <c r="AG29" s="5">
</c>
      <c r="AH29" s="5">
</c>
      <c r="AI29" s="5">
</c>
      <c r="AJ29" s="5">
</c>
      <c r="AK29" s="5">
</c>
    </row>
    <row r="30" ht="65.25" customHeight="1">
      <c r="A30" s="6" t="s">
        <v>128</v>
      </c>
      <c r="B30" s="6" t="s">
        <v>24</v>
      </c>
      <c r="C30" s="8" t="s">
        <v>129</v>
      </c>
      <c r="D30" s="9" t="s">
        <v>130</v>
      </c>
      <c r="E30" s="6" t="s">
        <v>50</v>
      </c>
      <c r="F30" s="6" t="s">
        <v>131</v>
      </c>
      <c r="G30" s="6" cm="1" t="str">
        <f t="array" ref="G30">IF(F30="","",SUBSTITUTE(SUBSTITUTE(SUBSTITUTE(SUBSTITUTE(F30,"&lt;li&gt;",CHAR(10)),"&lt;/li&gt;",""),"&lt;br&gt;",CHAR(10)),"&lt;strong&gt;",""))</f>
        <v>&lt;p&gt;RDV physique 17 mars avec Oliver Samain : échanges sur FCPI/FPCI, valorisation, liquidité, contraintes assurance vie, intérêt deeptech, référencement CGP/assureurs. Conclusion prospect : prendre un café pour approfondir. Prochaine étape : caler café revue marché/avis avec Olivier Samain (avant 26 mars).&lt;/p&gt;</v>
      </c>
      <c r="H30" s="6" cm="1" t="str">
        <f t="array" ref="H30">IF(G30="","",SUBSTITUTE(SUBSTITUTE(SUBSTITUTE(SUBSTITUTE(SUBSTITUTE(G30,"&lt;p&gt;",""),"&lt;/p&gt;",""),"&lt;ul&gt;",""),"&lt;/ul&gt;",""),"&lt;/strong&gt;",""))</f>
        <v>RDV physique 17 mars avec Oliver Samain : échanges sur FCPI/FPCI, valorisation, liquidité, contraintes assurance vie, intérêt deeptech, référencement CGP/assureurs. Conclusion prospect : prendre un café pour approfondir. Prochaine étape : caler café revue marché/avis avec Olivier Samain (avant 26 mars).</v>
      </c>
      <c r="I30" s="10" cm="1" t="str">
        <f t="array" ref="I30">IF(C30="","",IF(OR(H30="",H30=0,H30=FALSE),"-",H30))</f>
        <v>RDV physique 17 mars avec Oliver Samain : échanges sur FCPI/FPCI, valorisation, liquidité, contraintes assurance vie, intérêt deeptech, référencement CGP/assureurs. Conclusion prospect : prendre un café pour approfondir. Prochaine étape : caler café revue marché/avis avec Olivier Samain (avant 26 mars).</v>
      </c>
      <c r="J30" s="6" t="s">
        <v>132</v>
      </c>
      <c r="K30" s="6" t="s">
        <v>53</v>
      </c>
      <c r="L30" s="6" cm="1" t="str">
        <f t="array" ref="L30">IF(C30="","",IF(K30="Mort / Plus rien à faire","KO","OK"))</f>
        <v>OK</v>
      </c>
      <c r="M30" s="11">
        <v>46101.4591087963</v>
      </c>
      <c r="N30" s="11" cm="1" t="n">
        <f t="array" ref="N30">IF(OR(C30="",M30="",M30=0),"",M30)</f>
        <v>46101.4591087963</v>
      </c>
      <c r="O30" s="11">
</c>
      <c r="P30" s="11" cm="1" t="str">
        <f t="array" ref="P30">IF(C30="","",IF(OR(O30="",O30=0),"-",O30))</f>
        <v>-</v>
      </c>
      <c r="Q30" s="12">
        <v>0</v>
      </c>
      <c r="R30" s="6" cm="1" t="str">
        <f t="array" ref="R30">IF(C30="","",ROUND(Q30/1000000,3)&amp;" M€")</f>
        <v>0 M€</v>
      </c>
      <c r="S30" s="13">
        <v>0</v>
      </c>
      <c r="T30" s="6" cm="1" t="str">
        <f t="array" ref="T30">IF(C30="","",SUBSTITUTE(S30,"","")&amp;"%")</f>
        <v>0%</v>
      </c>
      <c r="U30" s="10" cm="1" t="str">
        <f t="array" ref="U30">IF(($N30="")*($P30=""),"",IF(($N30&lt;&gt;"")*($N30&gt;TODAY()-9)*($N30&lt;TODAY()+1)*($P30&lt;&gt;"")*($P30&gt;=TODAY())*($P30&lt;=TODAY()+13),"Semaine passée &amp; à venir",IF(($N30&lt;&gt;"")*($N30&gt;TODAY()-9)*($N30&lt;TODAY()+1),"Semaine passée",IF(($P30&lt;&gt;"")*($P30&gt;=TODAY())*($P30&lt;=TODAY()+13),"À venir","Autre"))))</f>
        <v>Autre</v>
      </c>
      <c r="V30" s="5" cm="1" t="n">
        <f t="array" ref="V30">IF(C30&lt;&gt;"",1,0)</f>
        <v>1</v>
      </c>
      <c r="W30" s="5">
</c>
      <c r="X30" s="5">
</c>
      <c r="Y30" s="5">
</c>
      <c r="Z30" s="5">
</c>
      <c r="AA30" s="5">
</c>
      <c r="AB30" s="5">
</c>
      <c r="AC30" s="5">
</c>
      <c r="AD30" s="5">
</c>
      <c r="AE30" s="5">
</c>
      <c r="AF30" s="5">
</c>
      <c r="AG30" s="5">
</c>
      <c r="AH30" s="5">
</c>
      <c r="AI30" s="5">
</c>
      <c r="AJ30" s="5">
</c>
      <c r="AK30" s="5">
</c>
    </row>
    <row r="31" ht="65.25" customHeight="1">
      <c r="A31" s="6" t="s">
        <v>23</v>
      </c>
      <c r="B31" s="6" t="s">
        <v>33</v>
      </c>
      <c r="C31" s="8" t="s">
        <v>133</v>
      </c>
      <c r="D31" s="9" t="s">
        <v>133</v>
      </c>
      <c r="E31" s="6" t="s">
        <v>35</v>
      </c>
      <c r="F31" s="6" t="s">
        <v>134</v>
      </c>
      <c r="G31" s="6" cm="1" t="str">
        <f t="array" ref="G31">IF(F31="","",SUBSTITUTE(SUBSTITUTE(SUBSTITUTE(SUBSTITUTE(F31,"&lt;li&gt;",CHAR(10)),"&lt;/li&gt;",""),"&lt;br&gt;",CHAR(10)),"&lt;strong&gt;",""))</f>
        <v>&lt;p&gt;24/02/2026 : échange avec HNWI ex-cofondateur Matis SDG, exit 1,5M€, café à côté de Bourrienne. Intérêt possible pour FCPI 30K€, autres tickets jugés trop élevés. Dernier contact 06/03/2026 : KO, prospect se concentre sur achat appartement. Prochaine action : prise de news prévue 04/01/2027.&lt;/p&gt;</v>
      </c>
      <c r="H31" s="6" cm="1" t="str">
        <f t="array" ref="H31">IF(G31="","",SUBSTITUTE(SUBSTITUTE(SUBSTITUTE(SUBSTITUTE(SUBSTITUTE(G31,"&lt;p&gt;",""),"&lt;/p&gt;",""),"&lt;ul&gt;",""),"&lt;/ul&gt;",""),"&lt;/strong&gt;",""))</f>
        <v>24/02/2026 : échange avec HNWI ex-cofondateur Matis SDG, exit 1,5M€, café à côté de Bourrienne. Intérêt possible pour FCPI 30K€, autres tickets jugés trop élevés. Dernier contact 06/03/2026 : KO, prospect se concentre sur achat appartement. Prochaine action : prise de news prévue 04/01/2027.</v>
      </c>
      <c r="I31" s="10" cm="1" t="str">
        <f t="array" ref="I31">IF(C31="","",IF(OR(H31="",H31=0,H31=FALSE),"-",H31))</f>
        <v>24/02/2026 : échange avec HNWI ex-cofondateur Matis SDG, exit 1,5M€, café à côté de Bourrienne. Intérêt possible pour FCPI 30K€, autres tickets jugés trop élevés. Dernier contact 06/03/2026 : KO, prospect se concentre sur achat appartement. Prochaine action : prise de news prévue 04/01/2027.</v>
      </c>
      <c r="J31" s="6" t="s">
        <v>135</v>
      </c>
      <c r="K31" s="6" t="s">
        <v>127</v>
      </c>
      <c r="L31" s="6" cm="1" t="str">
        <f t="array" ref="L31">IF(C31="","",IF(K31="Mort / Plus rien à faire","KO","OK"))</f>
        <v>KO</v>
      </c>
      <c r="M31" s="11">
        <v>46105.7000462963</v>
      </c>
      <c r="N31" s="11" cm="1" t="n">
        <f t="array" ref="N31">IF(OR(C31="",M31="",M31=0),"",M31)</f>
        <v>46105.7000462963</v>
      </c>
      <c r="O31" s="11">
        <v>46470.041666666664</v>
      </c>
      <c r="P31" s="11" cm="1" t="n">
        <f t="array" ref="P31">IF(C31="","",IF(OR(O31="",O31=0),"-",O31))</f>
        <v>46470.041666666664</v>
      </c>
      <c r="Q31" s="12">
        <v>0</v>
      </c>
      <c r="R31" s="6" cm="1" t="str">
        <f t="array" ref="R31">IF(C31="","",ROUND(Q31/1000000,3)&amp;" M€")</f>
        <v>0 M€</v>
      </c>
      <c r="S31" s="13">
        <v>0</v>
      </c>
      <c r="T31" s="6" cm="1" t="str">
        <f t="array" ref="T31">IF(C31="","",SUBSTITUTE(S31,"","")&amp;"%")</f>
        <v>0%</v>
      </c>
      <c r="U31" s="10" cm="1" t="str">
        <f t="array" ref="U31">IF(($N31="")*($P31=""),"",IF(($N31&lt;&gt;"")*($N31&gt;TODAY()-9)*($N31&lt;TODAY()+1)*($P31&lt;&gt;"")*($P31&gt;=TODAY())*($P31&lt;=TODAY()+13),"Semaine passée &amp; à venir",IF(($N31&lt;&gt;"")*($N31&gt;TODAY()-9)*($N31&lt;TODAY()+1),"Semaine passée",IF(($P31&lt;&gt;"")*($P31&gt;=TODAY())*($P31&lt;=TODAY()+13),"À venir","Autre"))))</f>
        <v>Autre</v>
      </c>
      <c r="V31" s="5" cm="1" t="n">
        <f t="array" ref="V31">IF(C31&lt;&gt;"",1,0)</f>
        <v>1</v>
      </c>
      <c r="W31" s="5">
</c>
      <c r="X31" s="5">
</c>
      <c r="Y31" s="5">
</c>
      <c r="Z31" s="5">
</c>
      <c r="AA31" s="5">
</c>
      <c r="AB31" s="5">
</c>
      <c r="AC31" s="5">
</c>
      <c r="AD31" s="5">
</c>
      <c r="AE31" s="5">
</c>
      <c r="AF31" s="5">
</c>
      <c r="AG31" s="5">
</c>
      <c r="AH31" s="5">
</c>
      <c r="AI31" s="5">
</c>
      <c r="AJ31" s="5">
</c>
      <c r="AK31" s="5">
</c>
    </row>
    <row r="32" ht="65.25" customHeight="1">
      <c r="A32" s="6" t="s">
        <v>23</v>
      </c>
      <c r="B32" s="6" t="s">
        <v>24</v>
      </c>
      <c r="C32" s="8" t="s">
        <v>136</v>
      </c>
      <c r="D32" s="9" t="s">
        <v>137</v>
      </c>
      <c r="E32" s="6" t="s">
        <v>50</v>
      </c>
      <c r="F32" s="6" t="s">
        <v>138</v>
      </c>
      <c r="G32" s="6" cm="1" t="str">
        <f t="array" ref="G32">IF(F32="","",SUBSTITUTE(SUBSTITUTE(SUBSTITUTE(SUBSTITUTE(F32,"&lt;li&gt;",CHAR(10)),"&lt;/li&gt;",""),"&lt;br&gt;",CHAR(10)),"&lt;strong&gt;",""))</f>
        <v>&lt;p&gt;Aucune activité ni échange significatif relevé à ce jour sur cette opportunité. Seule information : piste créée pour l'équipe Ventes. Aucun suivi, action ou retour prospect enregistré. Pas de prochaines étapes identifiées ni de conclusion sur les fonds présentés.&lt;/p&gt;</v>
      </c>
      <c r="H32" s="6" cm="1" t="str">
        <f t="array" ref="H32">IF(G32="","",SUBSTITUTE(SUBSTITUTE(SUBSTITUTE(SUBSTITUTE(SUBSTITUTE(G32,"&lt;p&gt;",""),"&lt;/p&gt;",""),"&lt;ul&gt;",""),"&lt;/ul&gt;",""),"&lt;/strong&gt;",""))</f>
        <v>Aucune activité ni échange significatif relevé à ce jour sur cette opportunité. Seule information : piste créée pour l'équipe Ventes. Aucun suivi, action ou retour prospect enregistré. Pas de prochaines étapes identifiées ni de conclusion sur les fonds présentés.</v>
      </c>
      <c r="I32" s="10" cm="1" t="str">
        <f t="array" ref="I32">IF(C32="","",IF(OR(H32="",H32=0,H32=FALSE),"-",H32))</f>
        <v>Aucune activité ni échange significatif relevé à ce jour sur cette opportunité. Seule information : piste créée pour l'équipe Ventes. Aucun suivi, action ou retour prospect enregistré. Pas de prochaines étapes identifiées ni de conclusion sur les fonds présentés.</v>
      </c>
      <c r="J32" s="6" t="s">
        <v>139</v>
      </c>
      <c r="K32" s="6" t="s">
        <v>53</v>
      </c>
      <c r="L32" s="6" cm="1" t="str">
        <f t="array" ref="L32">IF(C32="","",IF(K32="Mort / Plus rien à faire","KO","OK"))</f>
        <v>OK</v>
      </c>
      <c r="M32" s="11">
        <v>46101.4803125</v>
      </c>
      <c r="N32" s="11" cm="1" t="n">
        <f t="array" ref="N32">IF(OR(C32="",M32="",M32=0),"",M32)</f>
        <v>46101.4803125</v>
      </c>
      <c r="O32" s="11">
        <v>46115.083333333336</v>
      </c>
      <c r="P32" s="11" cm="1" t="n">
        <f t="array" ref="P32">IF(C32="","",IF(OR(O32="",O32=0),"-",O32))</f>
        <v>46115.083333333336</v>
      </c>
      <c r="Q32" s="12">
        <v>0</v>
      </c>
      <c r="R32" s="6" cm="1" t="str">
        <f t="array" ref="R32">IF(C32="","",ROUND(Q32/1000000,3)&amp;" M€")</f>
        <v>0 M€</v>
      </c>
      <c r="S32" s="13">
        <v>0</v>
      </c>
      <c r="T32" s="6" cm="1" t="str">
        <f t="array" ref="T32">IF(C32="","",SUBSTITUTE(S32,"","")&amp;"%")</f>
        <v>0%</v>
      </c>
      <c r="U32" s="10" cm="1" t="str">
        <f t="array" ref="U32">IF(($N32="")*($P32=""),"",IF(($N32&lt;&gt;"")*($N32&gt;TODAY()-9)*($N32&lt;TODAY()+1)*($P32&lt;&gt;"")*($P32&gt;=TODAY())*($P32&lt;=TODAY()+13),"Semaine passée &amp; à venir",IF(($N32&lt;&gt;"")*($N32&gt;TODAY()-9)*($N32&lt;TODAY()+1),"Semaine passée",IF(($P32&lt;&gt;"")*($P32&gt;=TODAY())*($P32&lt;=TODAY()+13),"À venir","Autre"))))</f>
        <v>À venir</v>
      </c>
      <c r="V32" s="5" cm="1" t="n">
        <f t="array" ref="V32">IF(C32&lt;&gt;"",1,0)</f>
        <v>1</v>
      </c>
      <c r="W32" s="5">
</c>
      <c r="X32" s="5">
</c>
      <c r="Y32" s="5">
</c>
      <c r="Z32" s="5">
</c>
      <c r="AA32" s="5">
</c>
      <c r="AB32" s="5">
</c>
      <c r="AC32" s="5">
</c>
      <c r="AD32" s="5">
</c>
      <c r="AE32" s="5">
</c>
      <c r="AF32" s="5">
</c>
      <c r="AG32" s="5">
</c>
      <c r="AH32" s="5">
</c>
      <c r="AI32" s="5">
</c>
      <c r="AJ32" s="5">
</c>
      <c r="AK32" s="5">
</c>
    </row>
    <row r="33" ht="65.25" customHeight="1">
      <c r="A33" s="6" t="s">
        <v>23</v>
      </c>
      <c r="B33" s="6" t="s">
        <v>33</v>
      </c>
      <c r="C33" s="8" t="s">
        <v>140</v>
      </c>
      <c r="D33" s="9" t="s">
        <v>140</v>
      </c>
      <c r="E33" s="6" t="s">
        <v>27</v>
      </c>
      <c r="F33" s="6" t="s">
        <v>141</v>
      </c>
      <c r="G33" s="6" cm="1" t="str">
        <f t="array" ref="G33">IF(F33="","",SUBSTITUTE(SUBSTITUTE(SUBSTITUTE(SUBSTITUTE(F33,"&lt;li&gt;",CHAR(10)),"&lt;/li&gt;",""),"&lt;br&gt;",CHAR(10)),"&lt;strong&gt;",""))</f>
        <v>&lt;p&gt;Prospect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prospect.&lt;/p&gt;</v>
      </c>
      <c r="H33" s="6" cm="1" t="str">
        <f t="array" ref="H33">IF(G33="","",SUBSTITUTE(SUBSTITUTE(SUBSTITUTE(SUBSTITUTE(SUBSTITUTE(G33,"&lt;p&gt;",""),"&lt;/p&gt;",""),"&lt;ul&gt;",""),"&lt;/ul&gt;",""),"&lt;/strong&gt;",""))</f>
        <v>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v>
      </c>
      <c r="I33" s="10" cm="1" t="str">
        <f t="array" ref="I33">IF(C33="","",IF(OR(H33="",H33=0,H33=FALSE),"-",H33))</f>
        <v>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v>
      </c>
      <c r="J33" s="6">
</c>
      <c r="K33" s="6" t="s">
        <v>142</v>
      </c>
      <c r="L33" s="6" cm="1" t="str">
        <f t="array" ref="L33">IF(C33="","",IF(K33="Mort / Plus rien à faire","KO","OK"))</f>
        <v>OK</v>
      </c>
      <c r="M33" s="11">
        <v>46084.725127314814</v>
      </c>
      <c r="N33" s="11" cm="1" t="n">
        <f t="array" ref="N33">IF(OR(C33="",M33="",M33=0),"",M33)</f>
        <v>46084.725127314814</v>
      </c>
      <c r="O33" s="11">
</c>
      <c r="P33" s="11" cm="1" t="str">
        <f t="array" ref="P33">IF(C33="","",IF(OR(O33="",O33=0),"-",O33))</f>
        <v>-</v>
      </c>
      <c r="Q33" s="12">
        <v>0</v>
      </c>
      <c r="R33" s="6" cm="1" t="str">
        <f t="array" ref="R33">IF(C33="","",ROUND(Q33/1000000,3)&amp;" M€")</f>
        <v>0 M€</v>
      </c>
      <c r="S33" s="13">
        <v>0</v>
      </c>
      <c r="T33" s="6" cm="1" t="str">
        <f t="array" ref="T33">IF(C33="","",SUBSTITUTE(S33,"","")&amp;"%")</f>
        <v>0%</v>
      </c>
      <c r="U33" s="10" cm="1" t="str">
        <f t="array" ref="U33">IF(($N33="")*($P33=""),"",IF(($N33&lt;&gt;"")*($N33&gt;TODAY()-9)*($N33&lt;TODAY()+1)*($P33&lt;&gt;"")*($P33&gt;=TODAY())*($P33&lt;=TODAY()+13),"Semaine passée &amp; à venir",IF(($N33&lt;&gt;"")*($N33&gt;TODAY()-9)*($N33&lt;TODAY()+1),"Semaine passée",IF(($P33&lt;&gt;"")*($P33&gt;=TODAY())*($P33&lt;=TODAY()+13),"À venir","Autre"))))</f>
        <v>Autre</v>
      </c>
      <c r="V33" s="5" cm="1" t="n">
        <f t="array" ref="V33">IF(C33&lt;&gt;"",1,0)</f>
        <v>1</v>
      </c>
      <c r="W33" s="5">
</c>
      <c r="X33" s="5">
</c>
      <c r="Y33" s="5">
</c>
      <c r="Z33" s="5">
</c>
      <c r="AA33" s="5">
</c>
      <c r="AB33" s="5">
</c>
      <c r="AC33" s="5">
</c>
      <c r="AD33" s="5">
</c>
      <c r="AE33" s="5">
</c>
      <c r="AF33" s="5">
</c>
      <c r="AG33" s="5">
</c>
      <c r="AH33" s="5">
</c>
      <c r="AI33" s="5">
</c>
      <c r="AJ33" s="5">
</c>
      <c r="AK33" s="5">
</c>
    </row>
    <row r="34" ht="65.25" customHeight="1">
      <c r="A34" s="6" t="s">
        <v>23</v>
      </c>
      <c r="B34" s="6" t="s">
        <v>33</v>
      </c>
      <c r="C34" s="8" t="s">
        <v>143</v>
      </c>
      <c r="D34" s="9" t="s">
        <v>143</v>
      </c>
      <c r="E34" s="6" t="s">
        <v>45</v>
      </c>
      <c r="F34" s="6" t="s">
        <v>144</v>
      </c>
      <c r="G34" s="6" cm="1" t="str">
        <f t="array" ref="G34">IF(F34="","",SUBSTITUTE(SUBSTITUTE(SUBSTITUTE(SUBSTITUTE(F34,"&lt;li&gt;",CHAR(10)),"&lt;/li&gt;",""),"&lt;br&gt;",CHAR(10)),"&lt;strong&gt;",""))</f>
        <v>&lt;p&gt;Piste créée pour équipe Ventes (16/03), origine CB (23/03). Relance mail envoyée par Edouard Gaurier pour organiser un échange téléphonique (27/03). Pas de retour ou d'action complémentaire du prospect à ce jour. Prochaine étape : attendre réponse pour fixer RDV téléphonique.&lt;/p&gt;</v>
      </c>
      <c r="H34" s="6" cm="1" t="str">
        <f t="array" ref="H34">IF(G34="","",SUBSTITUTE(SUBSTITUTE(SUBSTITUTE(SUBSTITUTE(SUBSTITUTE(G34,"&lt;p&gt;",""),"&lt;/p&gt;",""),"&lt;ul&gt;",""),"&lt;/ul&gt;",""),"&lt;/strong&gt;",""))</f>
        <v>Piste créée pour équipe Ventes (16/03), origine CB (23/03). Relance mail envoyée par Edouard Gaurier pour organiser un échange téléphonique (27/03). Pas de retour ou d'action complémentaire du prospect à ce jour. Prochaine étape : attendre réponse pour fixer RDV téléphonique.</v>
      </c>
      <c r="I34" s="10" cm="1" t="str">
        <f t="array" ref="I34">IF(C34="","",IF(OR(H34="",H34=0,H34=FALSE),"-",H34))</f>
        <v>Piste créée pour équipe Ventes (16/03), origine CB (23/03). Relance mail envoyée par Edouard Gaurier pour organiser un échange téléphonique (27/03). Pas de retour ou d'action complémentaire du prospect à ce jour. Prochaine étape : attendre réponse pour fixer RDV téléphonique.</v>
      </c>
      <c r="J34" s="6">
</c>
      <c r="K34" s="6" t="s">
        <v>41</v>
      </c>
      <c r="L34" s="6" cm="1" t="str">
        <f t="array" ref="L34">IF(C34="","",IF(K34="Mort / Plus rien à faire","KO","OK"))</f>
        <v>OK</v>
      </c>
      <c r="M34" s="11">
        <v>46111.727858796294</v>
      </c>
      <c r="N34" s="11" cm="1" t="n">
        <f t="array" ref="N34">IF(OR(C34="",M34="",M34=0),"",M34)</f>
        <v>46111.727858796294</v>
      </c>
      <c r="O34" s="11">
</c>
      <c r="P34" s="11" cm="1" t="str">
        <f t="array" ref="P34">IF(C34="","",IF(OR(O34="",O34=0),"-",O34))</f>
        <v>-</v>
      </c>
      <c r="Q34" s="12">
        <v>100000</v>
      </c>
      <c r="R34" s="6" cm="1" t="str">
        <f t="array" ref="R34">IF(C34="","",ROUND(Q34/1000000,3)&amp;" M€")</f>
        <v>0.1 M€</v>
      </c>
      <c r="S34" s="13">
        <v>0</v>
      </c>
      <c r="T34" s="6" cm="1" t="str">
        <f t="array" ref="T34">IF(C34="","",SUBSTITUTE(S34,"","")&amp;"%")</f>
        <v>0%</v>
      </c>
      <c r="U34" s="10" cm="1" t="str">
        <f t="array" ref="U34">IF(($N34="")*($P34=""),"",IF(($N34&lt;&gt;"")*($N34&gt;TODAY()-9)*($N34&lt;TODAY()+1)*($P34&lt;&gt;"")*($P34&gt;=TODAY())*($P34&lt;=TODAY()+13),"Semaine passée &amp; à venir",IF(($N34&lt;&gt;"")*($N34&gt;TODAY()-9)*($N34&lt;TODAY()+1),"Semaine passée",IF(($P34&lt;&gt;"")*($P34&gt;=TODAY())*($P34&lt;=TODAY()+13),"À venir","Autre"))))</f>
        <v>Semaine passée</v>
      </c>
      <c r="V34" s="5" cm="1" t="n">
        <f t="array" ref="V34">IF(C34&lt;&gt;"",1,0)</f>
        <v>1</v>
      </c>
      <c r="W34" s="5">
</c>
      <c r="X34" s="5">
</c>
      <c r="Y34" s="5">
</c>
      <c r="Z34" s="5">
</c>
      <c r="AA34" s="5">
</c>
      <c r="AB34" s="5">
</c>
      <c r="AC34" s="5">
</c>
      <c r="AD34" s="5">
</c>
      <c r="AE34" s="5">
</c>
      <c r="AF34" s="5">
</c>
      <c r="AG34" s="5">
</c>
      <c r="AH34" s="5">
</c>
      <c r="AI34" s="5">
</c>
      <c r="AJ34" s="5">
</c>
      <c r="AK34" s="5">
</c>
    </row>
    <row r="35" ht="65.25" customHeight="1">
      <c r="A35" s="6">
</c>
      <c r="B35" s="6">
</c>
      <c r="C35" s="8">
</c>
      <c r="D35" s="9">
</c>
      <c r="E35" s="6">
</c>
      <c r="F35" s="6">
</c>
      <c r="G35" s="6" cm="1" t="str">
        <f t="array" ref="G35">IF(F35="","",SUBSTITUTE(SUBSTITUTE(SUBSTITUTE(SUBSTITUTE(F35,"&lt;li&gt;",CHAR(10)),"&lt;/li&gt;",""),"&lt;br&gt;",CHAR(10)),"&lt;strong&gt;",""))</f>
        <v/>
      </c>
      <c r="H35" s="6" cm="1" t="str">
        <f t="array" ref="H35">IF(G35="","",SUBSTITUTE(SUBSTITUTE(SUBSTITUTE(SUBSTITUTE(SUBSTITUTE(G35,"&lt;p&gt;",""),"&lt;/p&gt;",""),"&lt;ul&gt;",""),"&lt;/ul&gt;",""),"&lt;/strong&gt;",""))</f>
        <v/>
      </c>
      <c r="I35" s="10" cm="1" t="str">
        <f t="array" ref="I35">IF(C35="","",IF(OR(H35="",H35=0,H35=FALSE),"-",H35))</f>
        <v/>
      </c>
      <c r="J35" s="6">
</c>
      <c r="K35" s="6">
</c>
      <c r="L35" s="6" cm="1" t="str">
        <f t="array" ref="L35">IF(C35="","",IF(K35="Mort / Plus rien à faire","KO","OK"))</f>
        <v/>
      </c>
      <c r="M35" s="11">
</c>
      <c r="N35" s="11" cm="1" t="str">
        <f t="array" ref="N35">IF(OR(C35="",M35="",M35=0),"",M35)</f>
        <v/>
      </c>
      <c r="O35" s="11">
</c>
      <c r="P35" s="11" cm="1" t="str">
        <f t="array" ref="P35">IF(C35="","",IF(OR(O35="",O35=0),"-",O35))</f>
        <v/>
      </c>
      <c r="Q35" s="12">
</c>
      <c r="R35" s="6" cm="1" t="str">
        <f t="array" ref="R35">IF(C35="","",ROUND(Q35/1000000,3)&amp;" M€")</f>
        <v/>
      </c>
      <c r="S35" s="13">
</c>
      <c r="T35" s="6" cm="1" t="str">
        <f t="array" ref="T35">IF(C35="","",SUBSTITUTE(S35,"","")&amp;"%")</f>
        <v/>
      </c>
      <c r="U35" s="10" cm="1" t="str">
        <f t="array" ref="U35">IF(($N35="")*($P35=""),"",IF(($N35&lt;&gt;"")*($N35&gt;TODAY()-9)*($N35&lt;TODAY()+1)*($P35&lt;&gt;"")*($P35&gt;=TODAY())*($P35&lt;=TODAY()+13),"Semaine passée &amp; à venir",IF(($N35&lt;&gt;"")*($N35&gt;TODAY()-9)*($N35&lt;TODAY()+1),"Semaine passée",IF(($P35&lt;&gt;"")*($P35&gt;=TODAY())*($P35&lt;=TODAY()+13),"À venir","Autre"))))</f>
        <v/>
      </c>
      <c r="V35" s="5" cm="1" t="n">
        <f t="array" ref="V35">IF(C35&lt;&gt;"",1,0)</f>
        <v>0</v>
      </c>
      <c r="W35" s="5">
</c>
      <c r="X35" s="5">
</c>
      <c r="Y35" s="5">
</c>
      <c r="Z35" s="5">
</c>
      <c r="AA35" s="5">
</c>
      <c r="AB35" s="5">
</c>
      <c r="AC35" s="5">
</c>
      <c r="AD35" s="5">
</c>
      <c r="AE35" s="5">
</c>
      <c r="AF35" s="5">
</c>
      <c r="AG35" s="5">
</c>
      <c r="AH35" s="5">
</c>
      <c r="AI35" s="5">
</c>
      <c r="AJ35" s="5">
</c>
      <c r="AK35" s="5">
</c>
    </row>
    <row r="36" ht="65.25" customHeight="1">
      <c r="A36" s="6">
</c>
      <c r="B36" s="6">
</c>
      <c r="C36" s="8">
</c>
      <c r="D36" s="9">
</c>
      <c r="E36" s="6">
</c>
      <c r="F36" s="6">
</c>
      <c r="G36" s="6" cm="1" t="str">
        <f t="array" ref="G36">IF(F36="","",SUBSTITUTE(SUBSTITUTE(SUBSTITUTE(SUBSTITUTE(F36,"&lt;li&gt;",CHAR(10)),"&lt;/li&gt;",""),"&lt;br&gt;",CHAR(10)),"&lt;strong&gt;",""))</f>
        <v/>
      </c>
      <c r="H36" s="6" cm="1" t="str">
        <f t="array" ref="H36">IF(G36="","",SUBSTITUTE(SUBSTITUTE(SUBSTITUTE(SUBSTITUTE(SUBSTITUTE(G36,"&lt;p&gt;",""),"&lt;/p&gt;",""),"&lt;ul&gt;",""),"&lt;/ul&gt;",""),"&lt;/strong&gt;",""))</f>
        <v/>
      </c>
      <c r="I36" s="10" cm="1" t="str">
        <f t="array" ref="I36">IF(C36="","",IF(OR(H36="",H36=0,H36=FALSE),"-",H36))</f>
        <v/>
      </c>
      <c r="J36" s="6">
</c>
      <c r="K36" s="6">
</c>
      <c r="L36" s="6" cm="1" t="str">
        <f t="array" ref="L36">IF(C36="","",IF(K36="Mort / Plus rien à faire","KO","OK"))</f>
        <v/>
      </c>
      <c r="M36" s="11">
</c>
      <c r="N36" s="11" cm="1" t="str">
        <f t="array" ref="N36">IF(OR(C36="",M36="",M36=0),"",M36)</f>
        <v/>
      </c>
      <c r="O36" s="11">
</c>
      <c r="P36" s="11" cm="1" t="str">
        <f t="array" ref="P36">IF(C36="","",IF(OR(O36="",O36=0),"-",O36))</f>
        <v/>
      </c>
      <c r="Q36" s="12">
</c>
      <c r="R36" s="6" cm="1" t="str">
        <f t="array" ref="R36">IF(C36="","",ROUND(Q36/1000000,3)&amp;" M€")</f>
        <v/>
      </c>
      <c r="S36" s="13">
</c>
      <c r="T36" s="6" cm="1" t="str">
        <f t="array" ref="T36">IF(C36="","",SUBSTITUTE(S36,"","")&amp;"%")</f>
        <v/>
      </c>
      <c r="U36" s="10" cm="1" t="str">
        <f t="array" ref="U36">IF(($N36="")*($P36=""),"",IF(($N36&lt;&gt;"")*($N36&gt;TODAY()-9)*($N36&lt;TODAY()+1)*($P36&lt;&gt;"")*($P36&gt;=TODAY())*($P36&lt;=TODAY()+13),"Semaine passée &amp; à venir",IF(($N36&lt;&gt;"")*($N36&gt;TODAY()-9)*($N36&lt;TODAY()+1),"Semaine passée",IF(($P36&lt;&gt;"")*($P36&gt;=TODAY())*($P36&lt;=TODAY()+13),"À venir","Autre"))))</f>
        <v/>
      </c>
      <c r="V36" s="5" cm="1" t="n">
        <f t="array" ref="V36">IF(C36&lt;&gt;"",1,0)</f>
        <v>0</v>
      </c>
      <c r="W36" s="5">
</c>
      <c r="X36" s="5">
</c>
      <c r="Y36" s="5">
</c>
      <c r="Z36" s="5">
</c>
      <c r="AA36" s="5">
</c>
      <c r="AB36" s="5">
</c>
      <c r="AC36" s="5">
</c>
      <c r="AD36" s="5">
</c>
      <c r="AE36" s="5">
</c>
      <c r="AF36" s="5">
</c>
      <c r="AG36" s="5">
</c>
      <c r="AH36" s="5">
</c>
      <c r="AI36" s="5">
</c>
      <c r="AJ36" s="5">
</c>
      <c r="AK36" s="5">
</c>
    </row>
    <row r="37" ht="65.25" customHeight="1">
      <c r="A37" s="6">
</c>
      <c r="B37" s="6">
</c>
      <c r="C37" s="8">
</c>
      <c r="D37" s="9">
</c>
      <c r="E37" s="6">
</c>
      <c r="F37" s="6">
</c>
      <c r="G37" s="6" cm="1" t="str">
        <f t="array" ref="G37">IF(F37="","",SUBSTITUTE(SUBSTITUTE(SUBSTITUTE(SUBSTITUTE(F37,"&lt;li&gt;",CHAR(10)),"&lt;/li&gt;",""),"&lt;br&gt;",CHAR(10)),"&lt;strong&gt;",""))</f>
        <v/>
      </c>
      <c r="H37" s="6" cm="1" t="str">
        <f t="array" ref="H37">IF(G37="","",SUBSTITUTE(SUBSTITUTE(SUBSTITUTE(SUBSTITUTE(SUBSTITUTE(G37,"&lt;p&gt;",""),"&lt;/p&gt;",""),"&lt;ul&gt;",""),"&lt;/ul&gt;",""),"&lt;/strong&gt;",""))</f>
        <v/>
      </c>
      <c r="I37" s="10" cm="1" t="str">
        <f t="array" ref="I37">IF(C37="","",IF(OR(H37="",H37=0,H37=FALSE),"-",H37))</f>
        <v/>
      </c>
      <c r="J37" s="6">
</c>
      <c r="K37" s="6">
</c>
      <c r="L37" s="6" cm="1" t="str">
        <f t="array" ref="L37">IF(C37="","",IF(K37="Mort / Plus rien à faire","KO","OK"))</f>
        <v/>
      </c>
      <c r="M37" s="11">
</c>
      <c r="N37" s="11" cm="1" t="str">
        <f t="array" ref="N37">IF(OR(C37="",M37="",M37=0),"",M37)</f>
        <v/>
      </c>
      <c r="O37" s="11">
</c>
      <c r="P37" s="11" cm="1" t="str">
        <f t="array" ref="P37">IF(C37="","",IF(OR(O37="",O37=0),"-",O37))</f>
        <v/>
      </c>
      <c r="Q37" s="12">
</c>
      <c r="R37" s="6" cm="1" t="str">
        <f t="array" ref="R37">IF(C37="","",ROUND(Q37/1000000,3)&amp;" M€")</f>
        <v/>
      </c>
      <c r="S37" s="13">
</c>
      <c r="T37" s="6" cm="1" t="str">
        <f t="array" ref="T37">IF(C37="","",SUBSTITUTE(S37,"","")&amp;"%")</f>
        <v/>
      </c>
      <c r="U37" s="10" cm="1" t="str">
        <f t="array" ref="U37">IF(($N37="")*($P37=""),"",IF(($N37&lt;&gt;"")*($N37&gt;TODAY()-9)*($N37&lt;TODAY()+1)*($P37&lt;&gt;"")*($P37&gt;=TODAY())*($P37&lt;=TODAY()+13),"Semaine passée &amp; à venir",IF(($N37&lt;&gt;"")*($N37&gt;TODAY()-9)*($N37&lt;TODAY()+1),"Semaine passée",IF(($P37&lt;&gt;"")*($P37&gt;=TODAY())*($P37&lt;=TODAY()+13),"À venir","Autre"))))</f>
        <v/>
      </c>
      <c r="V37" s="5" cm="1" t="n">
        <f t="array" ref="V37">IF(C37&lt;&gt;"",1,0)</f>
        <v>0</v>
      </c>
      <c r="W37" s="5">
</c>
      <c r="X37" s="5">
</c>
      <c r="Y37" s="5">
</c>
      <c r="Z37" s="5">
</c>
      <c r="AA37" s="5">
</c>
      <c r="AB37" s="5">
</c>
      <c r="AC37" s="5">
</c>
      <c r="AD37" s="5">
</c>
      <c r="AE37" s="5">
</c>
      <c r="AF37" s="5">
</c>
      <c r="AG37" s="5">
</c>
      <c r="AH37" s="5">
</c>
      <c r="AI37" s="5">
</c>
      <c r="AJ37" s="5">
</c>
      <c r="AK37" s="5">
</c>
    </row>
    <row r="38" ht="65.25" customHeight="1">
      <c r="A38" s="6">
</c>
      <c r="B38" s="6">
</c>
      <c r="C38" s="8">
</c>
      <c r="D38" s="9">
</c>
      <c r="E38" s="6">
</c>
      <c r="F38" s="6">
</c>
      <c r="G38" s="6" cm="1" t="str">
        <f t="array" ref="G38">IF(F38="","",SUBSTITUTE(SUBSTITUTE(SUBSTITUTE(SUBSTITUTE(F38,"&lt;li&gt;",CHAR(10)),"&lt;/li&gt;",""),"&lt;br&gt;",CHAR(10)),"&lt;strong&gt;",""))</f>
        <v/>
      </c>
      <c r="H38" s="6" cm="1" t="str">
        <f t="array" ref="H38">IF(G38="","",SUBSTITUTE(SUBSTITUTE(SUBSTITUTE(SUBSTITUTE(SUBSTITUTE(G38,"&lt;p&gt;",""),"&lt;/p&gt;",""),"&lt;ul&gt;",""),"&lt;/ul&gt;",""),"&lt;/strong&gt;",""))</f>
        <v/>
      </c>
      <c r="I38" s="10" cm="1" t="str">
        <f t="array" ref="I38">IF(C38="","",IF(OR(H38="",H38=0,H38=FALSE),"-",H38))</f>
        <v/>
      </c>
      <c r="J38" s="6">
</c>
      <c r="K38" s="6">
</c>
      <c r="L38" s="6" cm="1" t="str">
        <f t="array" ref="L38">IF(C38="","",IF(K38="Mort / Plus rien à faire","KO","OK"))</f>
        <v/>
      </c>
      <c r="M38" s="11">
</c>
      <c r="N38" s="11" cm="1" t="str">
        <f t="array" ref="N38">IF(OR(C38="",M38="",M38=0),"",M38)</f>
        <v/>
      </c>
      <c r="O38" s="11">
</c>
      <c r="P38" s="11" cm="1" t="str">
        <f t="array" ref="P38">IF(C38="","",IF(OR(O38="",O38=0),"-",O38))</f>
        <v/>
      </c>
      <c r="Q38" s="12">
</c>
      <c r="R38" s="6" cm="1" t="str">
        <f t="array" ref="R38">IF(C38="","",ROUND(Q38/1000000,3)&amp;" M€")</f>
        <v/>
      </c>
      <c r="S38" s="13">
</c>
      <c r="T38" s="6" cm="1" t="str">
        <f t="array" ref="T38">IF(C38="","",SUBSTITUTE(S38,"","")&amp;"%")</f>
        <v/>
      </c>
      <c r="U38" s="10" cm="1" t="str">
        <f t="array" ref="U38">IF(($N38="")*($P38=""),"",IF(($N38&lt;&gt;"")*($N38&gt;TODAY()-9)*($N38&lt;TODAY()+1)*($P38&lt;&gt;"")*($P38&gt;=TODAY())*($P38&lt;=TODAY()+13),"Semaine passée &amp; à venir",IF(($N38&lt;&gt;"")*($N38&gt;TODAY()-9)*($N38&lt;TODAY()+1),"Semaine passée",IF(($P38&lt;&gt;"")*($P38&gt;=TODAY())*($P38&lt;=TODAY()+13),"À venir","Autre"))))</f>
        <v/>
      </c>
      <c r="V38" s="5" cm="1" t="n">
        <f t="array" ref="V38">IF(C38&lt;&gt;"",1,0)</f>
        <v>0</v>
      </c>
      <c r="W38" s="5">
</c>
      <c r="X38" s="5">
</c>
      <c r="Y38" s="5">
</c>
      <c r="Z38" s="5">
</c>
      <c r="AA38" s="5">
</c>
      <c r="AB38" s="5">
</c>
      <c r="AC38" s="5">
</c>
      <c r="AD38" s="5">
</c>
      <c r="AE38" s="5">
</c>
      <c r="AF38" s="5">
</c>
      <c r="AG38" s="5">
</c>
      <c r="AH38" s="5">
</c>
      <c r="AI38" s="5">
</c>
      <c r="AJ38" s="5">
</c>
      <c r="AK38" s="5">
</c>
    </row>
    <row r="39" ht="65.25" customHeight="1">
      <c r="A39" s="6">
</c>
      <c r="B39" s="6">
</c>
      <c r="C39" s="8">
</c>
      <c r="D39" s="9">
</c>
      <c r="E39" s="6">
</c>
      <c r="F39" s="6">
</c>
      <c r="G39" s="6" cm="1" t="str">
        <f t="array" ref="G39">IF(F39="","",SUBSTITUTE(SUBSTITUTE(SUBSTITUTE(SUBSTITUTE(F39,"&lt;li&gt;",CHAR(10)),"&lt;/li&gt;",""),"&lt;br&gt;",CHAR(10)),"&lt;strong&gt;",""))</f>
        <v/>
      </c>
      <c r="H39" s="6" cm="1" t="str">
        <f t="array" ref="H39">IF(G39="","",SUBSTITUTE(SUBSTITUTE(SUBSTITUTE(SUBSTITUTE(SUBSTITUTE(G39,"&lt;p&gt;",""),"&lt;/p&gt;",""),"&lt;ul&gt;",""),"&lt;/ul&gt;",""),"&lt;/strong&gt;",""))</f>
        <v/>
      </c>
      <c r="I39" s="10" cm="1" t="str">
        <f t="array" ref="I39">IF(C39="","",IF(OR(H39="",H39=0,H39=FALSE),"-",H39))</f>
        <v/>
      </c>
      <c r="J39" s="6">
</c>
      <c r="K39" s="6">
</c>
      <c r="L39" s="6" cm="1" t="str">
        <f t="array" ref="L39">IF(C39="","",IF(K39="Mort / Plus rien à faire","KO","OK"))</f>
        <v/>
      </c>
      <c r="M39" s="11">
</c>
      <c r="N39" s="11" cm="1" t="str">
        <f t="array" ref="N39">IF(OR(C39="",M39="",M39=0),"",M39)</f>
        <v/>
      </c>
      <c r="O39" s="11">
</c>
      <c r="P39" s="11" cm="1" t="str">
        <f t="array" ref="P39">IF(C39="","",IF(OR(O39="",O39=0),"-",O39))</f>
        <v/>
      </c>
      <c r="Q39" s="12">
</c>
      <c r="R39" s="6" cm="1" t="str">
        <f t="array" ref="R39">IF(C39="","",ROUND(Q39/1000000,3)&amp;" M€")</f>
        <v/>
      </c>
      <c r="S39" s="13">
</c>
      <c r="T39" s="6" cm="1" t="str">
        <f t="array" ref="T39">IF(C39="","",SUBSTITUTE(S39,"","")&amp;"%")</f>
        <v/>
      </c>
      <c r="U39" s="10" cm="1" t="str">
        <f t="array" ref="U39">IF(($N39="")*($P39=""),"",IF(($N39&lt;&gt;"")*($N39&gt;TODAY()-9)*($N39&lt;TODAY()+1)*($P39&lt;&gt;"")*($P39&gt;=TODAY())*($P39&lt;=TODAY()+13),"Semaine passée &amp; à venir",IF(($N39&lt;&gt;"")*($N39&gt;TODAY()-9)*($N39&lt;TODAY()+1),"Semaine passée",IF(($P39&lt;&gt;"")*($P39&gt;=TODAY())*($P39&lt;=TODAY()+13),"À venir","Autre"))))</f>
        <v/>
      </c>
      <c r="V39" s="5" cm="1" t="n">
        <f t="array" ref="V39">IF(C39&lt;&gt;"",1,0)</f>
        <v>0</v>
      </c>
      <c r="W39" s="5">
</c>
      <c r="X39" s="5">
</c>
      <c r="Y39" s="5">
</c>
      <c r="Z39" s="5">
</c>
      <c r="AA39" s="5">
</c>
      <c r="AB39" s="5">
</c>
      <c r="AC39" s="5">
</c>
      <c r="AD39" s="5">
</c>
      <c r="AE39" s="5">
</c>
      <c r="AF39" s="5">
</c>
      <c r="AG39" s="5">
</c>
      <c r="AH39" s="5">
</c>
      <c r="AI39" s="5">
</c>
      <c r="AJ39" s="5">
</c>
      <c r="AK39" s="5">
</c>
    </row>
    <row r="40" ht="65.25" customHeight="1">
      <c r="A40" s="6">
</c>
      <c r="B40" s="6">
</c>
      <c r="C40" s="8">
</c>
      <c r="D40" s="9">
</c>
      <c r="E40" s="6">
</c>
      <c r="F40" s="6">
</c>
      <c r="G40" s="6" cm="1" t="str">
        <f t="array" ref="G40">IF(F40="","",SUBSTITUTE(SUBSTITUTE(SUBSTITUTE(SUBSTITUTE(F40,"&lt;li&gt;",CHAR(10)),"&lt;/li&gt;",""),"&lt;br&gt;",CHAR(10)),"&lt;strong&gt;",""))</f>
        <v/>
      </c>
      <c r="H40" s="6" cm="1" t="str">
        <f t="array" ref="H40">IF(G40="","",SUBSTITUTE(SUBSTITUTE(SUBSTITUTE(SUBSTITUTE(SUBSTITUTE(G40,"&lt;p&gt;",""),"&lt;/p&gt;",""),"&lt;ul&gt;",""),"&lt;/ul&gt;",""),"&lt;/strong&gt;",""))</f>
        <v/>
      </c>
      <c r="I40" s="10" cm="1" t="str">
        <f t="array" ref="I40">IF(C40="","",IF(OR(H40="",H40=0,H40=FALSE),"-",H40))</f>
        <v/>
      </c>
      <c r="J40" s="6">
</c>
      <c r="K40" s="6">
</c>
      <c r="L40" s="6" cm="1" t="str">
        <f t="array" ref="L40">IF(C40="","",IF(K40="Mort / Plus rien à faire","KO","OK"))</f>
        <v/>
      </c>
      <c r="M40" s="11">
</c>
      <c r="N40" s="11" cm="1" t="str">
        <f t="array" ref="N40">IF(OR(C40="",M40="",M40=0),"",M40)</f>
        <v/>
      </c>
      <c r="O40" s="11">
</c>
      <c r="P40" s="11" cm="1" t="str">
        <f t="array" ref="P40">IF(C40="","",IF(OR(O40="",O40=0),"-",O40))</f>
        <v/>
      </c>
      <c r="Q40" s="12">
</c>
      <c r="R40" s="6" cm="1" t="str">
        <f t="array" ref="R40">IF(C40="","",ROUND(Q40/1000000,3)&amp;" M€")</f>
        <v/>
      </c>
      <c r="S40" s="13">
</c>
      <c r="T40" s="6" cm="1" t="str">
        <f t="array" ref="T40">IF(C40="","",SUBSTITUTE(S40,"","")&amp;"%")</f>
        <v/>
      </c>
      <c r="U40" s="10" cm="1" t="str">
        <f t="array" ref="U40">IF(($N40="")*($P40=""),"",IF(($N40&lt;&gt;"")*($N40&gt;TODAY()-9)*($N40&lt;TODAY()+1)*($P40&lt;&gt;"")*($P40&gt;=TODAY())*($P40&lt;=TODAY()+13),"Semaine passée &amp; à venir",IF(($N40&lt;&gt;"")*($N40&gt;TODAY()-9)*($N40&lt;TODAY()+1),"Semaine passée",IF(($P40&lt;&gt;"")*($P40&gt;=TODAY())*($P40&lt;=TODAY()+13),"À venir","Autre"))))</f>
        <v/>
      </c>
      <c r="V40" s="5" cm="1" t="n">
        <f t="array" ref="V40">IF(C40&lt;&gt;"",1,0)</f>
        <v>0</v>
      </c>
      <c r="W40" s="5">
</c>
      <c r="X40" s="5">
</c>
      <c r="Y40" s="5">
</c>
      <c r="Z40" s="5">
</c>
      <c r="AA40" s="5">
</c>
      <c r="AB40" s="5">
</c>
      <c r="AC40" s="5">
</c>
      <c r="AD40" s="5">
</c>
      <c r="AE40" s="5">
</c>
      <c r="AF40" s="5">
</c>
      <c r="AG40" s="5">
</c>
      <c r="AH40" s="5">
</c>
      <c r="AI40" s="5">
</c>
      <c r="AJ40" s="5">
</c>
      <c r="AK40" s="5">
</c>
    </row>
    <row r="41" ht="65.25" customHeight="1">
      <c r="A41" s="6">
</c>
      <c r="B41" s="6">
</c>
      <c r="C41" s="8">
</c>
      <c r="D41" s="9">
</c>
      <c r="E41" s="6">
</c>
      <c r="F41" s="6">
</c>
      <c r="G41" s="6" cm="1" t="str">
        <f t="array" ref="G41">IF(F41="","",SUBSTITUTE(SUBSTITUTE(SUBSTITUTE(SUBSTITUTE(F41,"&lt;li&gt;",CHAR(10)),"&lt;/li&gt;",""),"&lt;br&gt;",CHAR(10)),"&lt;strong&gt;",""))</f>
        <v/>
      </c>
      <c r="H41" s="6" cm="1" t="str">
        <f t="array" ref="H41">IF(G41="","",SUBSTITUTE(SUBSTITUTE(SUBSTITUTE(SUBSTITUTE(SUBSTITUTE(G41,"&lt;p&gt;",""),"&lt;/p&gt;",""),"&lt;ul&gt;",""),"&lt;/ul&gt;",""),"&lt;/strong&gt;",""))</f>
        <v/>
      </c>
      <c r="I41" s="10" cm="1" t="str">
        <f t="array" ref="I41">IF(C41="","",IF(OR(H41="",H41=0,H41=FALSE),"-",H41))</f>
        <v/>
      </c>
      <c r="J41" s="6">
</c>
      <c r="K41" s="6">
</c>
      <c r="L41" s="6" cm="1" t="str">
        <f t="array" ref="L41">IF(C41="","",IF(K41="Mort / Plus rien à faire","KO","OK"))</f>
        <v/>
      </c>
      <c r="M41" s="11">
</c>
      <c r="N41" s="11" cm="1" t="str">
        <f t="array" ref="N41">IF(OR(C41="",M41="",M41=0),"",M41)</f>
        <v/>
      </c>
      <c r="O41" s="11">
</c>
      <c r="P41" s="11" cm="1" t="str">
        <f t="array" ref="P41">IF(C41="","",IF(OR(O41="",O41=0),"-",O41))</f>
        <v/>
      </c>
      <c r="Q41" s="12">
</c>
      <c r="R41" s="6" cm="1" t="str">
        <f t="array" ref="R41">IF(C41="","",ROUND(Q41/1000000,3)&amp;" M€")</f>
        <v/>
      </c>
      <c r="S41" s="13">
</c>
      <c r="T41" s="6" cm="1" t="str">
        <f t="array" ref="T41">IF(C41="","",SUBSTITUTE(S41,"","")&amp;"%")</f>
        <v/>
      </c>
      <c r="U41" s="10" cm="1" t="str">
        <f t="array" ref="U41">IF(($N41="")*($P41=""),"",IF(($N41&lt;&gt;"")*($N41&gt;TODAY()-9)*($N41&lt;TODAY()+1)*($P41&lt;&gt;"")*($P41&gt;=TODAY())*($P41&lt;=TODAY()+13),"Semaine passée &amp; à venir",IF(($N41&lt;&gt;"")*($N41&gt;TODAY()-9)*($N41&lt;TODAY()+1),"Semaine passée",IF(($P41&lt;&gt;"")*($P41&gt;=TODAY())*($P41&lt;=TODAY()+13),"À venir","Autre"))))</f>
        <v/>
      </c>
      <c r="V41" s="5" cm="1" t="n">
        <f t="array" ref="V41">IF(C41&lt;&gt;"",1,0)</f>
        <v>0</v>
      </c>
      <c r="W41" s="5">
</c>
      <c r="X41" s="5">
</c>
      <c r="Y41" s="5">
</c>
      <c r="Z41" s="5">
</c>
      <c r="AA41" s="5">
</c>
      <c r="AB41" s="5">
</c>
      <c r="AC41" s="5">
</c>
      <c r="AD41" s="5">
</c>
      <c r="AE41" s="5">
</c>
      <c r="AF41" s="5">
</c>
      <c r="AG41" s="5">
</c>
      <c r="AH41" s="5">
</c>
      <c r="AI41" s="5">
</c>
      <c r="AJ41" s="5">
</c>
      <c r="AK41" s="5">
</c>
    </row>
    <row r="42" ht="65.25" customHeight="1">
      <c r="A42" s="6">
</c>
      <c r="B42" s="6">
</c>
      <c r="C42" s="8">
</c>
      <c r="D42" s="9">
</c>
      <c r="E42" s="6">
</c>
      <c r="F42" s="6">
</c>
      <c r="G42" s="6" cm="1" t="str">
        <f t="array" ref="G42">IF(F42="","",SUBSTITUTE(SUBSTITUTE(SUBSTITUTE(SUBSTITUTE(F42,"&lt;li&gt;",CHAR(10)),"&lt;/li&gt;",""),"&lt;br&gt;",CHAR(10)),"&lt;strong&gt;",""))</f>
        <v/>
      </c>
      <c r="H42" s="6" cm="1" t="str">
        <f t="array" ref="H42">IF(G42="","",SUBSTITUTE(SUBSTITUTE(SUBSTITUTE(SUBSTITUTE(SUBSTITUTE(G42,"&lt;p&gt;",""),"&lt;/p&gt;",""),"&lt;ul&gt;",""),"&lt;/ul&gt;",""),"&lt;/strong&gt;",""))</f>
        <v/>
      </c>
      <c r="I42" s="10" cm="1" t="str">
        <f t="array" ref="I42">IF(C42="","",IF(OR(H42="",H42=0,H42=FALSE),"-",H42))</f>
        <v/>
      </c>
      <c r="J42" s="6">
</c>
      <c r="K42" s="6">
</c>
      <c r="L42" s="6" cm="1" t="str">
        <f t="array" ref="L42">IF(C42="","",IF(K42="Mort / Plus rien à faire","KO","OK"))</f>
        <v/>
      </c>
      <c r="M42" s="11">
</c>
      <c r="N42" s="11" cm="1" t="str">
        <f t="array" ref="N42">IF(OR(C42="",M42="",M42=0),"",M42)</f>
        <v/>
      </c>
      <c r="O42" s="11">
</c>
      <c r="P42" s="11" cm="1" t="str">
        <f t="array" ref="P42">IF(C42="","",IF(OR(O42="",O42=0),"-",O42))</f>
        <v/>
      </c>
      <c r="Q42" s="12">
</c>
      <c r="R42" s="6" cm="1" t="str">
        <f t="array" ref="R42">IF(C42="","",ROUND(Q42/1000000,3)&amp;" M€")</f>
        <v/>
      </c>
      <c r="S42" s="13">
</c>
      <c r="T42" s="6" cm="1" t="str">
        <f t="array" ref="T42">IF(C42="","",SUBSTITUTE(S42,"","")&amp;"%")</f>
        <v/>
      </c>
      <c r="U42" s="10" cm="1" t="str">
        <f t="array" ref="U42">IF(($N42="")*($P42=""),"",IF(($N42&lt;&gt;"")*($N42&gt;TODAY()-9)*($N42&lt;TODAY()+1)*($P42&lt;&gt;"")*($P42&gt;=TODAY())*($P42&lt;=TODAY()+13),"Semaine passée &amp; à venir",IF(($N42&lt;&gt;"")*($N42&gt;TODAY()-9)*($N42&lt;TODAY()+1),"Semaine passée",IF(($P42&lt;&gt;"")*($P42&gt;=TODAY())*($P42&lt;=TODAY()+13),"À venir","Autre"))))</f>
        <v/>
      </c>
      <c r="V42" s="5" cm="1" t="n">
        <f t="array" ref="V42">IF(C42&lt;&gt;"",1,0)</f>
        <v>0</v>
      </c>
      <c r="W42" s="5">
</c>
      <c r="X42" s="5">
</c>
      <c r="Y42" s="5">
</c>
      <c r="Z42" s="5">
</c>
      <c r="AA42" s="5">
</c>
      <c r="AB42" s="5">
</c>
      <c r="AC42" s="5">
</c>
      <c r="AD42" s="5">
</c>
      <c r="AE42" s="5">
</c>
      <c r="AF42" s="5">
</c>
      <c r="AG42" s="5">
</c>
      <c r="AH42" s="5">
</c>
      <c r="AI42" s="5">
</c>
      <c r="AJ42" s="5">
</c>
      <c r="AK42" s="5">
</c>
    </row>
    <row r="43" ht="65.25" customHeight="1">
      <c r="A43" s="6">
</c>
      <c r="B43" s="6">
</c>
      <c r="C43" s="8">
</c>
      <c r="D43" s="9">
</c>
      <c r="E43" s="6">
</c>
      <c r="F43" s="6">
</c>
      <c r="G43" s="6" cm="1" t="str">
        <f t="array" ref="G43">IF(F43="","",SUBSTITUTE(SUBSTITUTE(SUBSTITUTE(SUBSTITUTE(F43,"&lt;li&gt;",CHAR(10)),"&lt;/li&gt;",""),"&lt;br&gt;",CHAR(10)),"&lt;strong&gt;",""))</f>
        <v/>
      </c>
      <c r="H43" s="6" cm="1" t="str">
        <f t="array" ref="H43">IF(G43="","",SUBSTITUTE(SUBSTITUTE(SUBSTITUTE(SUBSTITUTE(SUBSTITUTE(G43,"&lt;p&gt;",""),"&lt;/p&gt;",""),"&lt;ul&gt;",""),"&lt;/ul&gt;",""),"&lt;/strong&gt;",""))</f>
        <v/>
      </c>
      <c r="I43" s="10" cm="1" t="str">
        <f t="array" ref="I43">IF(C43="","",IF(OR(H43="",H43=0,H43=FALSE),"-",H43))</f>
        <v/>
      </c>
      <c r="J43" s="6">
</c>
      <c r="K43" s="6">
</c>
      <c r="L43" s="6" cm="1" t="str">
        <f t="array" ref="L43">IF(C43="","",IF(K43="Mort / Plus rien à faire","KO","OK"))</f>
        <v/>
      </c>
      <c r="M43" s="11">
</c>
      <c r="N43" s="11" cm="1" t="str">
        <f t="array" ref="N43">IF(OR(C43="",M43="",M43=0),"",M43)</f>
        <v/>
      </c>
      <c r="O43" s="11">
</c>
      <c r="P43" s="11" cm="1" t="str">
        <f t="array" ref="P43">IF(C43="","",IF(OR(O43="",O43=0),"-",O43))</f>
        <v/>
      </c>
      <c r="Q43" s="12">
</c>
      <c r="R43" s="6" cm="1" t="str">
        <f t="array" ref="R43">IF(C43="","",ROUND(Q43/1000000,3)&amp;" M€")</f>
        <v/>
      </c>
      <c r="S43" s="13">
</c>
      <c r="T43" s="6" cm="1" t="str">
        <f t="array" ref="T43">IF(C43="","",SUBSTITUTE(S43,"","")&amp;"%")</f>
        <v/>
      </c>
      <c r="U43" s="10" cm="1" t="str">
        <f t="array" ref="U43">IF(($N43="")*($P43=""),"",IF(($N43&lt;&gt;"")*($N43&gt;TODAY()-9)*($N43&lt;TODAY()+1)*($P43&lt;&gt;"")*($P43&gt;=TODAY())*($P43&lt;=TODAY()+13),"Semaine passée &amp; à venir",IF(($N43&lt;&gt;"")*($N43&gt;TODAY()-9)*($N43&lt;TODAY()+1),"Semaine passée",IF(($P43&lt;&gt;"")*($P43&gt;=TODAY())*($P43&lt;=TODAY()+13),"À venir","Autre"))))</f>
        <v/>
      </c>
      <c r="V43" s="5" cm="1" t="n">
        <f t="array" ref="V43">IF(C43&lt;&gt;"",1,0)</f>
        <v>0</v>
      </c>
      <c r="W43" s="5">
</c>
      <c r="X43" s="5">
</c>
      <c r="Y43" s="5">
</c>
      <c r="Z43" s="5">
</c>
      <c r="AA43" s="5">
</c>
      <c r="AB43" s="5">
</c>
      <c r="AC43" s="5">
</c>
      <c r="AD43" s="5">
</c>
      <c r="AE43" s="5">
</c>
      <c r="AF43" s="5">
</c>
      <c r="AG43" s="5">
</c>
      <c r="AH43" s="5">
</c>
      <c r="AI43" s="5">
</c>
      <c r="AJ43" s="5">
</c>
      <c r="AK43" s="5">
</c>
    </row>
    <row r="44" ht="65.25" customHeight="1">
      <c r="A44" s="6">
</c>
      <c r="B44" s="6">
</c>
      <c r="C44" s="8">
</c>
      <c r="D44" s="9">
</c>
      <c r="E44" s="6">
</c>
      <c r="F44" s="6">
</c>
      <c r="G44" s="6" cm="1" t="str">
        <f t="array" ref="G44">IF(F44="","",SUBSTITUTE(SUBSTITUTE(SUBSTITUTE(SUBSTITUTE(F44,"&lt;li&gt;",CHAR(10)),"&lt;/li&gt;",""),"&lt;br&gt;",CHAR(10)),"&lt;strong&gt;",""))</f>
        <v/>
      </c>
      <c r="H44" s="6" cm="1" t="str">
        <f t="array" ref="H44">IF(G44="","",SUBSTITUTE(SUBSTITUTE(SUBSTITUTE(SUBSTITUTE(SUBSTITUTE(G44,"&lt;p&gt;",""),"&lt;/p&gt;",""),"&lt;ul&gt;",""),"&lt;/ul&gt;",""),"&lt;/strong&gt;",""))</f>
        <v/>
      </c>
      <c r="I44" s="10" cm="1" t="str">
        <f t="array" ref="I44">IF(C44="","",IF(OR(H44="",H44=0,H44=FALSE),"-",H44))</f>
        <v/>
      </c>
      <c r="J44" s="6">
</c>
      <c r="K44" s="6">
</c>
      <c r="L44" s="6" cm="1" t="str">
        <f t="array" ref="L44">IF(C44="","",IF(K44="Mort / Plus rien à faire","KO","OK"))</f>
        <v/>
      </c>
      <c r="M44" s="11">
</c>
      <c r="N44" s="11" cm="1" t="str">
        <f t="array" ref="N44">IF(OR(C44="",M44="",M44=0),"",M44)</f>
        <v/>
      </c>
      <c r="O44" s="11">
</c>
      <c r="P44" s="11" cm="1" t="str">
        <f t="array" ref="P44">IF(C44="","",IF(OR(O44="",O44=0),"-",O44))</f>
        <v/>
      </c>
      <c r="Q44" s="12">
</c>
      <c r="R44" s="6" cm="1" t="str">
        <f t="array" ref="R44">IF(C44="","",ROUND(Q44/1000000,3)&amp;" M€")</f>
        <v/>
      </c>
      <c r="S44" s="13">
</c>
      <c r="T44" s="6" cm="1" t="str">
        <f t="array" ref="T44">IF(C44="","",SUBSTITUTE(S44,"","")&amp;"%")</f>
        <v/>
      </c>
      <c r="U44" s="10" cm="1" t="str">
        <f t="array" ref="U44">IF(($N44="")*($P44=""),"",IF(($N44&lt;&gt;"")*($N44&gt;TODAY()-9)*($N44&lt;TODAY()+1)*($P44&lt;&gt;"")*($P44&gt;=TODAY())*($P44&lt;=TODAY()+13),"Semaine passée &amp; à venir",IF(($N44&lt;&gt;"")*($N44&gt;TODAY()-9)*($N44&lt;TODAY()+1),"Semaine passée",IF(($P44&lt;&gt;"")*($P44&gt;=TODAY())*($P44&lt;=TODAY()+13),"À venir","Autre"))))</f>
        <v/>
      </c>
      <c r="V44" s="5" cm="1" t="n">
        <f t="array" ref="V44">IF(C44&lt;&gt;"",1,0)</f>
        <v>0</v>
      </c>
      <c r="W44" s="5">
</c>
      <c r="X44" s="5">
</c>
      <c r="Y44" s="5">
</c>
      <c r="Z44" s="5">
</c>
      <c r="AA44" s="5">
</c>
      <c r="AB44" s="5">
</c>
      <c r="AC44" s="5">
</c>
      <c r="AD44" s="5">
</c>
      <c r="AE44" s="5">
</c>
      <c r="AF44" s="5">
</c>
      <c r="AG44" s="5">
</c>
      <c r="AH44" s="5">
</c>
      <c r="AI44" s="5">
</c>
      <c r="AJ44" s="5">
</c>
      <c r="AK44" s="5">
</c>
    </row>
    <row r="45" ht="65.25" customHeight="1">
      <c r="A45" s="6">
</c>
      <c r="B45" s="6">
</c>
      <c r="C45" s="8">
</c>
      <c r="D45" s="9">
</c>
      <c r="E45" s="6">
</c>
      <c r="F45" s="6">
</c>
      <c r="G45" s="6" cm="1" t="str">
        <f t="array" ref="G45">IF(F45="","",SUBSTITUTE(SUBSTITUTE(SUBSTITUTE(SUBSTITUTE(F45,"&lt;li&gt;",CHAR(10)),"&lt;/li&gt;",""),"&lt;br&gt;",CHAR(10)),"&lt;strong&gt;",""))</f>
        <v/>
      </c>
      <c r="H45" s="6" cm="1" t="str">
        <f t="array" ref="H45">IF(G45="","",SUBSTITUTE(SUBSTITUTE(SUBSTITUTE(SUBSTITUTE(SUBSTITUTE(G45,"&lt;p&gt;",""),"&lt;/p&gt;",""),"&lt;ul&gt;",""),"&lt;/ul&gt;",""),"&lt;/strong&gt;",""))</f>
        <v/>
      </c>
      <c r="I45" s="10" cm="1" t="str">
        <f t="array" ref="I45">IF(C45="","",IF(OR(H45="",H45=0,H45=FALSE),"-",H45))</f>
        <v/>
      </c>
      <c r="J45" s="6">
</c>
      <c r="K45" s="6">
</c>
      <c r="L45" s="6" cm="1" t="str">
        <f t="array" ref="L45">IF(C45="","",IF(K45="Mort / Plus rien à faire","KO","OK"))</f>
        <v/>
      </c>
      <c r="M45" s="11">
</c>
      <c r="N45" s="11" cm="1" t="str">
        <f t="array" ref="N45">IF(OR(C45="",M45="",M45=0),"",M45)</f>
        <v/>
      </c>
      <c r="O45" s="11">
</c>
      <c r="P45" s="11" cm="1" t="str">
        <f t="array" ref="P45">IF(C45="","",IF(OR(O45="",O45=0),"-",O45))</f>
        <v/>
      </c>
      <c r="Q45" s="12">
</c>
      <c r="R45" s="6" cm="1" t="str">
        <f t="array" ref="R45">IF(C45="","",ROUND(Q45/1000000,3)&amp;" M€")</f>
        <v/>
      </c>
      <c r="S45" s="13">
</c>
      <c r="T45" s="6" cm="1" t="str">
        <f t="array" ref="T45">IF(C45="","",SUBSTITUTE(S45,"","")&amp;"%")</f>
        <v/>
      </c>
      <c r="U45" s="10" cm="1" t="str">
        <f t="array" ref="U45">IF(($N45="")*($P45=""),"",IF(($N45&lt;&gt;"")*($N45&gt;TODAY()-9)*($N45&lt;TODAY()+1)*($P45&lt;&gt;"")*($P45&gt;=TODAY())*($P45&lt;=TODAY()+13),"Semaine passée &amp; à venir",IF(($N45&lt;&gt;"")*($N45&gt;TODAY()-9)*($N45&lt;TODAY()+1),"Semaine passée",IF(($P45&lt;&gt;"")*($P45&gt;=TODAY())*($P45&lt;=TODAY()+13),"À venir","Autre"))))</f>
        <v/>
      </c>
      <c r="V45" s="5" cm="1" t="n">
        <f t="array" ref="V45">IF(C45&lt;&gt;"",1,0)</f>
        <v>0</v>
      </c>
      <c r="W45" s="5">
</c>
      <c r="X45" s="5">
</c>
      <c r="Y45" s="5">
</c>
      <c r="Z45" s="5">
</c>
      <c r="AA45" s="5">
</c>
      <c r="AB45" s="5">
</c>
      <c r="AC45" s="5">
</c>
      <c r="AD45" s="5">
</c>
      <c r="AE45" s="5">
</c>
      <c r="AF45" s="5">
</c>
      <c r="AG45" s="5">
</c>
      <c r="AH45" s="5">
</c>
      <c r="AI45" s="5">
</c>
      <c r="AJ45" s="5">
</c>
      <c r="AK45" s="5">
</c>
    </row>
    <row r="46" ht="65.25" customHeight="1">
      <c r="A46" s="6">
</c>
      <c r="B46" s="6">
</c>
      <c r="C46" s="8">
</c>
      <c r="D46" s="9">
</c>
      <c r="E46" s="6">
</c>
      <c r="F46" s="6">
</c>
      <c r="G46" s="6" cm="1" t="str">
        <f t="array" ref="G46">IF(F46="","",SUBSTITUTE(SUBSTITUTE(SUBSTITUTE(SUBSTITUTE(F46,"&lt;li&gt;",CHAR(10)),"&lt;/li&gt;",""),"&lt;br&gt;",CHAR(10)),"&lt;strong&gt;",""))</f>
        <v/>
      </c>
      <c r="H46" s="6" cm="1" t="str">
        <f t="array" ref="H46">IF(G46="","",SUBSTITUTE(SUBSTITUTE(SUBSTITUTE(SUBSTITUTE(SUBSTITUTE(G46,"&lt;p&gt;",""),"&lt;/p&gt;",""),"&lt;ul&gt;",""),"&lt;/ul&gt;",""),"&lt;/strong&gt;",""))</f>
        <v/>
      </c>
      <c r="I46" s="10" cm="1" t="str">
        <f t="array" ref="I46">IF(C46="","",IF(OR(H46="",H46=0,H46=FALSE),"-",H46))</f>
        <v/>
      </c>
      <c r="J46" s="6">
</c>
      <c r="K46" s="6">
</c>
      <c r="L46" s="6" cm="1" t="str">
        <f t="array" ref="L46">IF(C46="","",IF(K46="Mort / Plus rien à faire","KO","OK"))</f>
        <v/>
      </c>
      <c r="M46" s="11">
</c>
      <c r="N46" s="11" cm="1" t="str">
        <f t="array" ref="N46">IF(OR(C46="",M46="",M46=0),"",M46)</f>
        <v/>
      </c>
      <c r="O46" s="11">
</c>
      <c r="P46" s="11" cm="1" t="str">
        <f t="array" ref="P46">IF(C46="","",IF(OR(O46="",O46=0),"-",O46))</f>
        <v/>
      </c>
      <c r="Q46" s="12">
</c>
      <c r="R46" s="6" cm="1" t="str">
        <f t="array" ref="R46">IF(C46="","",ROUND(Q46/1000000,3)&amp;" M€")</f>
        <v/>
      </c>
      <c r="S46" s="13">
</c>
      <c r="T46" s="6" cm="1" t="str">
        <f t="array" ref="T46">IF(C46="","",SUBSTITUTE(S46,"","")&amp;"%")</f>
        <v/>
      </c>
      <c r="U46" s="10"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c r="AK46" s="5">
</c>
    </row>
    <row r="47" ht="65.25" customHeight="1">
      <c r="A47" s="6">
</c>
      <c r="B47" s="6">
</c>
      <c r="C47" s="8">
</c>
      <c r="D47" s="9">
</c>
      <c r="E47" s="6">
</c>
      <c r="F47" s="6">
</c>
      <c r="G47" s="6" cm="1" t="str">
        <f t="array" ref="G47">IF(F47="","",SUBSTITUTE(SUBSTITUTE(SUBSTITUTE(SUBSTITUTE(F47,"&lt;li&gt;",CHAR(10)),"&lt;/li&gt;",""),"&lt;br&gt;",CHAR(10)),"&lt;strong&gt;",""))</f>
        <v/>
      </c>
      <c r="H47" s="6" cm="1" t="str">
        <f t="array" ref="H47">IF(G47="","",SUBSTITUTE(SUBSTITUTE(SUBSTITUTE(SUBSTITUTE(SUBSTITUTE(G47,"&lt;p&gt;",""),"&lt;/p&gt;",""),"&lt;ul&gt;",""),"&lt;/ul&gt;",""),"&lt;/strong&gt;",""))</f>
        <v/>
      </c>
      <c r="I47" s="10" cm="1" t="str">
        <f t="array" ref="I47">IF(C47="","",IF(OR(H47="",H47=0,H47=FALSE),"-",H47))</f>
        <v/>
      </c>
      <c r="J47" s="6">
</c>
      <c r="K47" s="6">
</c>
      <c r="L47" s="6" cm="1" t="str">
        <f t="array" ref="L47">IF(C47="","",IF(K47="Mort / Plus rien à faire","KO","OK"))</f>
        <v/>
      </c>
      <c r="M47" s="11">
</c>
      <c r="N47" s="11" cm="1" t="str">
        <f t="array" ref="N47">IF(OR(C47="",M47="",M47=0),"",M47)</f>
        <v/>
      </c>
      <c r="O47" s="11">
</c>
      <c r="P47" s="11" cm="1" t="str">
        <f t="array" ref="P47">IF(C47="","",IF(OR(O47="",O47=0),"-",O47))</f>
        <v/>
      </c>
      <c r="Q47" s="12">
</c>
      <c r="R47" s="6" cm="1" t="str">
        <f t="array" ref="R47">IF(C47="","",ROUND(Q47/1000000,3)&amp;" M€")</f>
        <v/>
      </c>
      <c r="S47" s="13">
</c>
      <c r="T47" s="6" cm="1" t="str">
        <f t="array" ref="T47">IF(C47="","",SUBSTITUTE(S47,"","")&amp;"%")</f>
        <v/>
      </c>
      <c r="U47" s="10"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c r="AK47" s="5">
</c>
    </row>
    <row r="48" ht="65.25" customHeight="1">
      <c r="A48" s="6">
</c>
      <c r="B48" s="6">
</c>
      <c r="C48" s="8">
</c>
      <c r="D48" s="9">
</c>
      <c r="E48" s="6">
</c>
      <c r="F48" s="6">
</c>
      <c r="G48" s="6" cm="1" t="str">
        <f t="array" ref="G48">IF(F48="","",SUBSTITUTE(SUBSTITUTE(SUBSTITUTE(SUBSTITUTE(F48,"&lt;li&gt;",CHAR(10)),"&lt;/li&gt;",""),"&lt;br&gt;",CHAR(10)),"&lt;strong&gt;",""))</f>
        <v/>
      </c>
      <c r="H48" s="6" cm="1" t="str">
        <f t="array" ref="H48">IF(G48="","",SUBSTITUTE(SUBSTITUTE(SUBSTITUTE(SUBSTITUTE(SUBSTITUTE(G48,"&lt;p&gt;",""),"&lt;/p&gt;",""),"&lt;ul&gt;",""),"&lt;/ul&gt;",""),"&lt;/strong&gt;",""))</f>
        <v/>
      </c>
      <c r="I48" s="10" cm="1" t="str">
        <f t="array" ref="I48">IF(C48="","",IF(OR(H48="",H48=0,H48=FALSE),"-",H48))</f>
        <v/>
      </c>
      <c r="J48" s="6">
</c>
      <c r="K48" s="6">
</c>
      <c r="L48" s="6" cm="1" t="str">
        <f t="array" ref="L48">IF(C48="","",IF(K48="Mort / Plus rien à faire","KO","OK"))</f>
        <v/>
      </c>
      <c r="M48" s="11">
</c>
      <c r="N48" s="11" cm="1" t="str">
        <f t="array" ref="N48">IF(OR(C48="",M48="",M48=0),"",M48)</f>
        <v/>
      </c>
      <c r="O48" s="11">
</c>
      <c r="P48" s="11" cm="1" t="str">
        <f t="array" ref="P48">IF(C48="","",IF(OR(O48="",O48=0),"-",O48))</f>
        <v/>
      </c>
      <c r="Q48" s="12">
</c>
      <c r="R48" s="6" cm="1" t="str">
        <f t="array" ref="R48">IF(C48="","",ROUND(Q48/1000000,3)&amp;" M€")</f>
        <v/>
      </c>
      <c r="S48" s="13">
</c>
      <c r="T48" s="6" cm="1" t="str">
        <f t="array" ref="T48">IF(C48="","",SUBSTITUTE(S48,"","")&amp;"%")</f>
        <v/>
      </c>
      <c r="U48" s="10"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c r="AK48" s="5">
</c>
    </row>
    <row r="49" ht="65.25" customHeight="1">
      <c r="A49" s="6">
</c>
      <c r="B49" s="6">
</c>
      <c r="C49" s="8">
</c>
      <c r="D49" s="9">
</c>
      <c r="E49" s="6">
</c>
      <c r="F49" s="6">
</c>
      <c r="G49" s="6" cm="1" t="str">
        <f t="array" ref="G49">IF(F49="","",SUBSTITUTE(SUBSTITUTE(SUBSTITUTE(SUBSTITUTE(F49,"&lt;li&gt;",CHAR(10)),"&lt;/li&gt;",""),"&lt;br&gt;",CHAR(10)),"&lt;strong&gt;",""))</f>
        <v/>
      </c>
      <c r="H49" s="6" cm="1" t="str">
        <f t="array" ref="H49">IF(G49="","",SUBSTITUTE(SUBSTITUTE(SUBSTITUTE(SUBSTITUTE(SUBSTITUTE(G49,"&lt;p&gt;",""),"&lt;/p&gt;",""),"&lt;ul&gt;",""),"&lt;/ul&gt;",""),"&lt;/strong&gt;",""))</f>
        <v/>
      </c>
      <c r="I49" s="10" cm="1" t="str">
        <f t="array" ref="I49">IF(C49="","",IF(OR(H49="",H49=0,H49=FALSE),"-",H49))</f>
        <v/>
      </c>
      <c r="J49" s="6">
</c>
      <c r="K49" s="6">
</c>
      <c r="L49" s="6" cm="1" t="str">
        <f t="array" ref="L49">IF(C49="","",IF(K49="Mort / Plus rien à faire","KO","OK"))</f>
        <v/>
      </c>
      <c r="M49" s="11">
</c>
      <c r="N49" s="11" cm="1" t="str">
        <f t="array" ref="N49">IF(OR(C49="",M49="",M49=0),"",M49)</f>
        <v/>
      </c>
      <c r="O49" s="11">
</c>
      <c r="P49" s="11" cm="1" t="str">
        <f t="array" ref="P49">IF(C49="","",IF(OR(O49="",O49=0),"-",O49))</f>
        <v/>
      </c>
      <c r="Q49" s="12">
</c>
      <c r="R49" s="6" cm="1" t="str">
        <f t="array" ref="R49">IF(C49="","",ROUND(Q49/1000000,3)&amp;" M€")</f>
        <v/>
      </c>
      <c r="S49" s="13">
</c>
      <c r="T49" s="6" cm="1" t="str">
        <f t="array" ref="T49">IF(C49="","",SUBSTITUTE(S49,"","")&amp;"%")</f>
        <v/>
      </c>
      <c r="U49" s="10"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c r="AK49" s="5">
</c>
    </row>
    <row r="50" ht="65.25" customHeight="1">
      <c r="A50" s="6">
</c>
      <c r="B50" s="6">
</c>
      <c r="C50" s="8">
</c>
      <c r="D50" s="9">
</c>
      <c r="E50" s="6">
</c>
      <c r="F50" s="6">
</c>
      <c r="G50" s="6" cm="1" t="str">
        <f t="array" ref="G50">IF(F50="","",SUBSTITUTE(SUBSTITUTE(SUBSTITUTE(SUBSTITUTE(F50,"&lt;li&gt;",CHAR(10)),"&lt;/li&gt;",""),"&lt;br&gt;",CHAR(10)),"&lt;strong&gt;",""))</f>
        <v/>
      </c>
      <c r="H50" s="6" cm="1" t="str">
        <f t="array" ref="H50">IF(G50="","",SUBSTITUTE(SUBSTITUTE(SUBSTITUTE(SUBSTITUTE(SUBSTITUTE(G50,"&lt;p&gt;",""),"&lt;/p&gt;",""),"&lt;ul&gt;",""),"&lt;/ul&gt;",""),"&lt;/strong&gt;",""))</f>
        <v/>
      </c>
      <c r="I50" s="10" cm="1" t="str">
        <f t="array" ref="I50">IF(C50="","",IF(OR(H50="",H50=0,H50=FALSE),"-",H50))</f>
        <v/>
      </c>
      <c r="J50" s="6">
</c>
      <c r="K50" s="6">
</c>
      <c r="L50" s="6" cm="1" t="str">
        <f t="array" ref="L50">IF(C50="","",IF(K50="Mort / Plus rien à faire","KO","OK"))</f>
        <v/>
      </c>
      <c r="M50" s="11">
</c>
      <c r="N50" s="11" cm="1" t="str">
        <f t="array" ref="N50">IF(OR(C50="",M50="",M50=0),"",M50)</f>
        <v/>
      </c>
      <c r="O50" s="11">
</c>
      <c r="P50" s="11" cm="1" t="str">
        <f t="array" ref="P50">IF(C50="","",IF(OR(O50="",O50=0),"-",O50))</f>
        <v/>
      </c>
      <c r="Q50" s="12">
</c>
      <c r="R50" s="6" cm="1" t="str">
        <f t="array" ref="R50">IF(C50="","",ROUND(Q50/1000000,3)&amp;" M€")</f>
        <v/>
      </c>
      <c r="S50" s="13">
</c>
      <c r="T50" s="6" cm="1" t="str">
        <f t="array" ref="T50">IF(C50="","",SUBSTITUTE(S50,"","")&amp;"%")</f>
        <v/>
      </c>
      <c r="U50" s="10"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c r="AK50" s="5">
</c>
    </row>
    <row r="51" ht="65.25" customHeight="1">
      <c r="A51" s="6">
</c>
      <c r="B51" s="6">
</c>
      <c r="C51" s="8">
</c>
      <c r="D51" s="9">
</c>
      <c r="E51" s="6">
</c>
      <c r="F51" s="6">
</c>
      <c r="G51" s="6" cm="1" t="str">
        <f t="array" ref="G51">IF(F51="","",SUBSTITUTE(SUBSTITUTE(SUBSTITUTE(SUBSTITUTE(F51,"&lt;li&gt;",CHAR(10)),"&lt;/li&gt;",""),"&lt;br&gt;",CHAR(10)),"&lt;strong&gt;",""))</f>
        <v/>
      </c>
      <c r="H51" s="6" cm="1" t="str">
        <f t="array" ref="H51">IF(G51="","",SUBSTITUTE(SUBSTITUTE(SUBSTITUTE(SUBSTITUTE(SUBSTITUTE(G51,"&lt;p&gt;",""),"&lt;/p&gt;",""),"&lt;ul&gt;",""),"&lt;/ul&gt;",""),"&lt;/strong&gt;",""))</f>
        <v/>
      </c>
      <c r="I51" s="10" cm="1" t="str">
        <f t="array" ref="I51">IF(C51="","",IF(OR(H51="",H51=0,H51=FALSE),"-",H51))</f>
        <v/>
      </c>
      <c r="J51" s="6">
</c>
      <c r="K51" s="6">
</c>
      <c r="L51" s="6" cm="1" t="str">
        <f t="array" ref="L51">IF(C51="","",IF(K51="Mort / Plus rien à faire","KO","OK"))</f>
        <v/>
      </c>
      <c r="M51" s="11">
</c>
      <c r="N51" s="11" cm="1" t="str">
        <f t="array" ref="N51">IF(OR(C51="",M51="",M51=0),"",M51)</f>
        <v/>
      </c>
      <c r="O51" s="11">
</c>
      <c r="P51" s="11" cm="1" t="str">
        <f t="array" ref="P51">IF(C51="","",IF(OR(O51="",O51=0),"-",O51))</f>
        <v/>
      </c>
      <c r="Q51" s="12">
</c>
      <c r="R51" s="6" cm="1" t="str">
        <f t="array" ref="R51">IF(C51="","",ROUND(Q51/1000000,3)&amp;" M€")</f>
        <v/>
      </c>
      <c r="S51" s="13">
</c>
      <c r="T51" s="6" cm="1" t="str">
        <f t="array" ref="T51">IF(C51="","",SUBSTITUTE(S51,"","")&amp;"%")</f>
        <v/>
      </c>
      <c r="U51" s="10"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c r="AK51" s="5">
</c>
    </row>
    <row r="52" ht="65.25" customHeight="1">
      <c r="A52" s="6">
</c>
      <c r="B52" s="6">
</c>
      <c r="C52" s="8">
</c>
      <c r="D52" s="9">
</c>
      <c r="E52" s="6">
</c>
      <c r="F52" s="6">
</c>
      <c r="G52" s="6" cm="1" t="str">
        <f t="array" ref="G52">IF(F52="","",SUBSTITUTE(SUBSTITUTE(SUBSTITUTE(SUBSTITUTE(F52,"&lt;li&gt;",CHAR(10)),"&lt;/li&gt;",""),"&lt;br&gt;",CHAR(10)),"&lt;strong&gt;",""))</f>
        <v/>
      </c>
      <c r="H52" s="6" cm="1" t="str">
        <f t="array" ref="H52">IF(G52="","",SUBSTITUTE(SUBSTITUTE(SUBSTITUTE(SUBSTITUTE(SUBSTITUTE(G52,"&lt;p&gt;",""),"&lt;/p&gt;",""),"&lt;ul&gt;",""),"&lt;/ul&gt;",""),"&lt;/strong&gt;",""))</f>
        <v/>
      </c>
      <c r="I52" s="10" cm="1" t="str">
        <f t="array" ref="I52">IF(C52="","",IF(OR(H52="",H52=0,H52=FALSE),"-",H52))</f>
        <v/>
      </c>
      <c r="J52" s="6">
</c>
      <c r="K52" s="6">
</c>
      <c r="L52" s="6" cm="1" t="str">
        <f t="array" ref="L52">IF(C52="","",IF(K52="Mort / Plus rien à faire","KO","OK"))</f>
        <v/>
      </c>
      <c r="M52" s="11">
</c>
      <c r="N52" s="11" cm="1" t="str">
        <f t="array" ref="N52">IF(OR(C52="",M52="",M52=0),"",M52)</f>
        <v/>
      </c>
      <c r="O52" s="11">
</c>
      <c r="P52" s="11" cm="1" t="str">
        <f t="array" ref="P52">IF(C52="","",IF(OR(O52="",O52=0),"-",O52))</f>
        <v/>
      </c>
      <c r="Q52" s="12">
</c>
      <c r="R52" s="6" cm="1" t="str">
        <f t="array" ref="R52">IF(C52="","",ROUND(Q52/1000000,3)&amp;" M€")</f>
        <v/>
      </c>
      <c r="S52" s="13">
</c>
      <c r="T52" s="6" cm="1" t="str">
        <f t="array" ref="T52">IF(C52="","",SUBSTITUTE(S52,"","")&amp;"%")</f>
        <v/>
      </c>
      <c r="U52" s="10"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c r="AK52" s="5">
</c>
    </row>
    <row r="53" ht="65.25" customHeight="1">
      <c r="A53" s="6">
</c>
      <c r="B53" s="6">
</c>
      <c r="C53" s="8">
</c>
      <c r="D53" s="9">
</c>
      <c r="E53" s="6">
</c>
      <c r="F53" s="6">
</c>
      <c r="G53" s="6" cm="1" t="str">
        <f t="array" ref="G53">IF(F53="","",SUBSTITUTE(SUBSTITUTE(SUBSTITUTE(SUBSTITUTE(F53,"&lt;li&gt;",CHAR(10)),"&lt;/li&gt;",""),"&lt;br&gt;",CHAR(10)),"&lt;strong&gt;",""))</f>
        <v/>
      </c>
      <c r="H53" s="6" cm="1" t="str">
        <f t="array" ref="H53">IF(G53="","",SUBSTITUTE(SUBSTITUTE(SUBSTITUTE(SUBSTITUTE(SUBSTITUTE(G53,"&lt;p&gt;",""),"&lt;/p&gt;",""),"&lt;ul&gt;",""),"&lt;/ul&gt;",""),"&lt;/strong&gt;",""))</f>
        <v/>
      </c>
      <c r="I53" s="10" cm="1" t="str">
        <f t="array" ref="I53">IF(C53="","",IF(OR(H53="",H53=0,H53=FALSE),"-",H53))</f>
        <v/>
      </c>
      <c r="J53" s="6">
</c>
      <c r="K53" s="6">
</c>
      <c r="L53" s="6" cm="1" t="str">
        <f t="array" ref="L53">IF(C53="","",IF(K53="Mort / Plus rien à faire","KO","OK"))</f>
        <v/>
      </c>
      <c r="M53" s="11">
</c>
      <c r="N53" s="11" cm="1" t="str">
        <f t="array" ref="N53">IF(OR(C53="",M53="",M53=0),"",M53)</f>
        <v/>
      </c>
      <c r="O53" s="11">
</c>
      <c r="P53" s="11" cm="1" t="str">
        <f t="array" ref="P53">IF(C53="","",IF(OR(O53="",O53=0),"-",O53))</f>
        <v/>
      </c>
      <c r="Q53" s="12">
</c>
      <c r="R53" s="6" cm="1" t="str">
        <f t="array" ref="R53">IF(C53="","",ROUND(Q53/1000000,3)&amp;" M€")</f>
        <v/>
      </c>
      <c r="S53" s="13">
</c>
      <c r="T53" s="6" cm="1" t="str">
        <f t="array" ref="T53">IF(C53="","",SUBSTITUTE(S53,"","")&amp;"%")</f>
        <v/>
      </c>
      <c r="U53" s="10"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c r="AK53" s="5">
</c>
    </row>
    <row r="54" ht="65.25" customHeight="1">
      <c r="A54" s="6">
</c>
      <c r="B54" s="6">
</c>
      <c r="C54" s="8">
</c>
      <c r="D54" s="9">
</c>
      <c r="E54" s="6">
</c>
      <c r="F54" s="6">
</c>
      <c r="G54" s="6" cm="1" t="str">
        <f t="array" ref="G54">IF(F54="","",SUBSTITUTE(SUBSTITUTE(SUBSTITUTE(SUBSTITUTE(F54,"&lt;li&gt;",CHAR(10)),"&lt;/li&gt;",""),"&lt;br&gt;",CHAR(10)),"&lt;strong&gt;",""))</f>
        <v/>
      </c>
      <c r="H54" s="6" cm="1" t="str">
        <f t="array" ref="H54">IF(G54="","",SUBSTITUTE(SUBSTITUTE(SUBSTITUTE(SUBSTITUTE(SUBSTITUTE(G54,"&lt;p&gt;",""),"&lt;/p&gt;",""),"&lt;ul&gt;",""),"&lt;/ul&gt;",""),"&lt;/strong&gt;",""))</f>
        <v/>
      </c>
      <c r="I54" s="10" cm="1" t="str">
        <f t="array" ref="I54">IF(C54="","",IF(OR(H54="",H54=0,H54=FALSE),"-",H54))</f>
        <v/>
      </c>
      <c r="J54" s="6">
</c>
      <c r="K54" s="6">
</c>
      <c r="L54" s="6" cm="1" t="str">
        <f t="array" ref="L54">IF(C54="","",IF(K54="Mort / Plus rien à faire","KO","OK"))</f>
        <v/>
      </c>
      <c r="M54" s="11">
</c>
      <c r="N54" s="11" cm="1" t="str">
        <f t="array" ref="N54">IF(OR(C54="",M54="",M54=0),"",M54)</f>
        <v/>
      </c>
      <c r="O54" s="11">
</c>
      <c r="P54" s="11" cm="1" t="str">
        <f t="array" ref="P54">IF(C54="","",IF(OR(O54="",O54=0),"-",O54))</f>
        <v/>
      </c>
      <c r="Q54" s="12">
</c>
      <c r="R54" s="6" cm="1" t="str">
        <f t="array" ref="R54">IF(C54="","",ROUND(Q54/1000000,3)&amp;" M€")</f>
        <v/>
      </c>
      <c r="S54" s="13">
</c>
      <c r="T54" s="6" cm="1" t="str">
        <f t="array" ref="T54">IF(C54="","",SUBSTITUTE(S54,"","")&amp;"%")</f>
        <v/>
      </c>
      <c r="U54" s="10"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c r="AK54" s="5">
</c>
    </row>
    <row r="55" ht="65.25" customHeight="1">
      <c r="A55" s="6">
</c>
      <c r="B55" s="6">
</c>
      <c r="C55" s="8">
</c>
      <c r="D55" s="9">
</c>
      <c r="E55" s="6">
</c>
      <c r="F55" s="6">
</c>
      <c r="G55" s="6" cm="1" t="str">
        <f t="array" ref="G55">IF(F55="","",SUBSTITUTE(SUBSTITUTE(SUBSTITUTE(SUBSTITUTE(F55,"&lt;li&gt;",CHAR(10)),"&lt;/li&gt;",""),"&lt;br&gt;",CHAR(10)),"&lt;strong&gt;",""))</f>
        <v/>
      </c>
      <c r="H55" s="6" cm="1" t="str">
        <f t="array" ref="H55">IF(G55="","",SUBSTITUTE(SUBSTITUTE(SUBSTITUTE(SUBSTITUTE(SUBSTITUTE(G55,"&lt;p&gt;",""),"&lt;/p&gt;",""),"&lt;ul&gt;",""),"&lt;/ul&gt;",""),"&lt;/strong&gt;",""))</f>
        <v/>
      </c>
      <c r="I55" s="10" cm="1" t="str">
        <f t="array" ref="I55">IF(C55="","",IF(OR(H55="",H55=0,H55=FALSE),"-",H55))</f>
        <v/>
      </c>
      <c r="J55" s="6">
</c>
      <c r="K55" s="6">
</c>
      <c r="L55" s="6" cm="1" t="str">
        <f t="array" ref="L55">IF(C55="","",IF(K55="Mort / Plus rien à faire","KO","OK"))</f>
        <v/>
      </c>
      <c r="M55" s="11">
</c>
      <c r="N55" s="11" cm="1" t="str">
        <f t="array" ref="N55">IF(OR(C55="",M55="",M55=0),"",M55)</f>
        <v/>
      </c>
      <c r="O55" s="11">
</c>
      <c r="P55" s="11" cm="1" t="str">
        <f t="array" ref="P55">IF(C55="","",IF(OR(O55="",O55=0),"-",O55))</f>
        <v/>
      </c>
      <c r="Q55" s="12">
</c>
      <c r="R55" s="6" cm="1" t="str">
        <f t="array" ref="R55">IF(C55="","",ROUND(Q55/1000000,3)&amp;" M€")</f>
        <v/>
      </c>
      <c r="S55" s="13">
</c>
      <c r="T55" s="6" cm="1" t="str">
        <f t="array" ref="T55">IF(C55="","",SUBSTITUTE(S55,"","")&amp;"%")</f>
        <v/>
      </c>
      <c r="U55" s="10"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c r="AK55" s="5">
</c>
    </row>
    <row r="56" ht="65.25" customHeight="1">
      <c r="A56" s="6">
</c>
      <c r="B56" s="6">
</c>
      <c r="C56" s="8">
</c>
      <c r="D56" s="9">
</c>
      <c r="E56" s="6">
</c>
      <c r="F56" s="6">
</c>
      <c r="G56" s="6" cm="1" t="str">
        <f t="array" ref="G56">IF(F56="","",SUBSTITUTE(SUBSTITUTE(SUBSTITUTE(SUBSTITUTE(F56,"&lt;li&gt;",CHAR(10)),"&lt;/li&gt;",""),"&lt;br&gt;",CHAR(10)),"&lt;strong&gt;",""))</f>
        <v/>
      </c>
      <c r="H56" s="6" cm="1" t="str">
        <f t="array" ref="H56">IF(G56="","",SUBSTITUTE(SUBSTITUTE(SUBSTITUTE(SUBSTITUTE(SUBSTITUTE(G56,"&lt;p&gt;",""),"&lt;/p&gt;",""),"&lt;ul&gt;",""),"&lt;/ul&gt;",""),"&lt;/strong&gt;",""))</f>
        <v/>
      </c>
      <c r="I56" s="10" cm="1" t="str">
        <f t="array" ref="I56">IF(C56="","",IF(OR(H56="",H56=0,H56=FALSE),"-",H56))</f>
        <v/>
      </c>
      <c r="J56" s="6">
</c>
      <c r="K56" s="6">
</c>
      <c r="L56" s="6" cm="1" t="str">
        <f t="array" ref="L56">IF(C56="","",IF(K56="Mort / Plus rien à faire","KO","OK"))</f>
        <v/>
      </c>
      <c r="M56" s="11">
</c>
      <c r="N56" s="11" cm="1" t="str">
        <f t="array" ref="N56">IF(OR(C56="",M56="",M56=0),"",M56)</f>
        <v/>
      </c>
      <c r="O56" s="11">
</c>
      <c r="P56" s="11" cm="1" t="str">
        <f t="array" ref="P56">IF(C56="","",IF(OR(O56="",O56=0),"-",O56))</f>
        <v/>
      </c>
      <c r="Q56" s="12">
</c>
      <c r="R56" s="6" cm="1" t="str">
        <f t="array" ref="R56">IF(C56="","",ROUND(Q56/1000000,3)&amp;" M€")</f>
        <v/>
      </c>
      <c r="S56" s="13">
</c>
      <c r="T56" s="6" cm="1" t="str">
        <f t="array" ref="T56">IF(C56="","",SUBSTITUTE(S56,"","")&amp;"%")</f>
        <v/>
      </c>
      <c r="U56" s="10"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c r="AK56" s="5">
</c>
    </row>
    <row r="57" ht="65.25" customHeight="1">
      <c r="A57" s="6">
</c>
      <c r="B57" s="6">
</c>
      <c r="C57" s="8">
</c>
      <c r="D57" s="9">
</c>
      <c r="E57" s="6">
</c>
      <c r="F57" s="6">
</c>
      <c r="G57" s="6" cm="1" t="str">
        <f t="array" ref="G57">IF(F57="","",SUBSTITUTE(SUBSTITUTE(SUBSTITUTE(SUBSTITUTE(F57,"&lt;li&gt;",CHAR(10)),"&lt;/li&gt;",""),"&lt;br&gt;",CHAR(10)),"&lt;strong&gt;",""))</f>
        <v/>
      </c>
      <c r="H57" s="6" cm="1" t="str">
        <f t="array" ref="H57">IF(G57="","",SUBSTITUTE(SUBSTITUTE(SUBSTITUTE(SUBSTITUTE(SUBSTITUTE(G57,"&lt;p&gt;",""),"&lt;/p&gt;",""),"&lt;ul&gt;",""),"&lt;/ul&gt;",""),"&lt;/strong&gt;",""))</f>
        <v/>
      </c>
      <c r="I57" s="10" cm="1" t="str">
        <f t="array" ref="I57">IF(C57="","",IF(OR(H57="",H57=0,H57=FALSE),"-",H57))</f>
        <v/>
      </c>
      <c r="J57" s="6">
</c>
      <c r="K57" s="6">
</c>
      <c r="L57" s="6" cm="1" t="str">
        <f t="array" ref="L57">IF(C57="","",IF(K57="Mort / Plus rien à faire","KO","OK"))</f>
        <v/>
      </c>
      <c r="M57" s="11">
</c>
      <c r="N57" s="11" cm="1" t="str">
        <f t="array" ref="N57">IF(OR(C57="",M57="",M57=0),"",M57)</f>
        <v/>
      </c>
      <c r="O57" s="11">
</c>
      <c r="P57" s="11" cm="1" t="str">
        <f t="array" ref="P57">IF(C57="","",IF(OR(O57="",O57=0),"-",O57))</f>
        <v/>
      </c>
      <c r="Q57" s="12">
</c>
      <c r="R57" s="6" cm="1" t="str">
        <f t="array" ref="R57">IF(C57="","",ROUND(Q57/1000000,3)&amp;" M€")</f>
        <v/>
      </c>
      <c r="S57" s="13">
</c>
      <c r="T57" s="6" cm="1" t="str">
        <f t="array" ref="T57">IF(C57="","",SUBSTITUTE(S57,"","")&amp;"%")</f>
        <v/>
      </c>
      <c r="U57" s="10"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c r="AK57" s="5">
</c>
    </row>
    <row r="58" ht="65.25" customHeight="1">
      <c r="A58" s="6">
</c>
      <c r="B58" s="6">
</c>
      <c r="C58" s="8">
</c>
      <c r="D58" s="9">
</c>
      <c r="E58" s="6">
</c>
      <c r="F58" s="6">
</c>
      <c r="G58" s="6" cm="1" t="str">
        <f t="array" ref="G58">IF(F58="","",SUBSTITUTE(SUBSTITUTE(SUBSTITUTE(SUBSTITUTE(F58,"&lt;li&gt;",CHAR(10)),"&lt;/li&gt;",""),"&lt;br&gt;",CHAR(10)),"&lt;strong&gt;",""))</f>
        <v/>
      </c>
      <c r="H58" s="6" cm="1" t="str">
        <f t="array" ref="H58">IF(G58="","",SUBSTITUTE(SUBSTITUTE(SUBSTITUTE(SUBSTITUTE(SUBSTITUTE(G58,"&lt;p&gt;",""),"&lt;/p&gt;",""),"&lt;ul&gt;",""),"&lt;/ul&gt;",""),"&lt;/strong&gt;",""))</f>
        <v/>
      </c>
      <c r="I58" s="10" cm="1" t="str">
        <f t="array" ref="I58">IF(C58="","",IF(OR(H58="",H58=0,H58=FALSE),"-",H58))</f>
        <v/>
      </c>
      <c r="J58" s="6">
</c>
      <c r="K58" s="6">
</c>
      <c r="L58" s="6" cm="1" t="str">
        <f t="array" ref="L58">IF(C58="","",IF(K58="Mort / Plus rien à faire","KO","OK"))</f>
        <v/>
      </c>
      <c r="M58" s="11">
</c>
      <c r="N58" s="11" cm="1" t="str">
        <f t="array" ref="N58">IF(OR(C58="",M58="",M58=0),"",M58)</f>
        <v/>
      </c>
      <c r="O58" s="11">
</c>
      <c r="P58" s="11" cm="1" t="str">
        <f t="array" ref="P58">IF(C58="","",IF(OR(O58="",O58=0),"-",O58))</f>
        <v/>
      </c>
      <c r="Q58" s="12">
</c>
      <c r="R58" s="6" cm="1" t="str">
        <f t="array" ref="R58">IF(C58="","",ROUND(Q58/1000000,3)&amp;" M€")</f>
        <v/>
      </c>
      <c r="S58" s="13">
</c>
      <c r="T58" s="6" cm="1" t="str">
        <f t="array" ref="T58">IF(C58="","",SUBSTITUTE(S58,"","")&amp;"%")</f>
        <v/>
      </c>
      <c r="U58" s="10"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c r="AK58" s="5">
</c>
    </row>
    <row r="59" ht="65.25" customHeight="1">
      <c r="A59" s="6">
</c>
      <c r="B59" s="6">
</c>
      <c r="C59" s="8">
</c>
      <c r="D59" s="9">
</c>
      <c r="E59" s="6">
</c>
      <c r="F59" s="6">
</c>
      <c r="G59" s="6" cm="1" t="str">
        <f t="array" ref="G59">IF(F59="","",SUBSTITUTE(SUBSTITUTE(SUBSTITUTE(SUBSTITUTE(F59,"&lt;li&gt;",CHAR(10)),"&lt;/li&gt;",""),"&lt;br&gt;",CHAR(10)),"&lt;strong&gt;",""))</f>
        <v/>
      </c>
      <c r="H59" s="6" cm="1" t="str">
        <f t="array" ref="H59">IF(G59="","",SUBSTITUTE(SUBSTITUTE(SUBSTITUTE(SUBSTITUTE(SUBSTITUTE(G59,"&lt;p&gt;",""),"&lt;/p&gt;",""),"&lt;ul&gt;",""),"&lt;/ul&gt;",""),"&lt;/strong&gt;",""))</f>
        <v/>
      </c>
      <c r="I59" s="10" cm="1" t="str">
        <f t="array" ref="I59">IF(C59="","",IF(OR(H59="",H59=0,H59=FALSE),"-",H59))</f>
        <v/>
      </c>
      <c r="J59" s="6">
</c>
      <c r="K59" s="6">
</c>
      <c r="L59" s="6" cm="1" t="str">
        <f t="array" ref="L59">IF(C59="","",IF(K59="Mort / Plus rien à faire","KO","OK"))</f>
        <v/>
      </c>
      <c r="M59" s="11">
</c>
      <c r="N59" s="11" cm="1" t="str">
        <f t="array" ref="N59">IF(OR(C59="",M59="",M59=0),"",M59)</f>
        <v/>
      </c>
      <c r="O59" s="11">
</c>
      <c r="P59" s="11" cm="1" t="str">
        <f t="array" ref="P59">IF(C59="","",IF(OR(O59="",O59=0),"-",O59))</f>
        <v/>
      </c>
      <c r="Q59" s="12">
</c>
      <c r="R59" s="6" cm="1" t="str">
        <f t="array" ref="R59">IF(C59="","",ROUND(Q59/1000000,3)&amp;" M€")</f>
        <v/>
      </c>
      <c r="S59" s="13">
</c>
      <c r="T59" s="6" cm="1" t="str">
        <f t="array" ref="T59">IF(C59="","",SUBSTITUTE(S59,"","")&amp;"%")</f>
        <v/>
      </c>
      <c r="U59" s="10"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c r="AK59" s="5">
</c>
    </row>
    <row r="60" ht="65.25" customHeight="1">
      <c r="A60" s="6">
</c>
      <c r="B60" s="6">
</c>
      <c r="C60" s="8">
</c>
      <c r="D60" s="9">
</c>
      <c r="E60" s="6">
</c>
      <c r="F60" s="6">
</c>
      <c r="G60" s="6" cm="1" t="str">
        <f t="array" ref="G60">IF(F60="","",SUBSTITUTE(SUBSTITUTE(SUBSTITUTE(SUBSTITUTE(F60,"&lt;li&gt;",CHAR(10)),"&lt;/li&gt;",""),"&lt;br&gt;",CHAR(10)),"&lt;strong&gt;",""))</f>
        <v/>
      </c>
      <c r="H60" s="6" cm="1" t="str">
        <f t="array" ref="H60">IF(G60="","",SUBSTITUTE(SUBSTITUTE(SUBSTITUTE(SUBSTITUTE(SUBSTITUTE(G60,"&lt;p&gt;",""),"&lt;/p&gt;",""),"&lt;ul&gt;",""),"&lt;/ul&gt;",""),"&lt;/strong&gt;",""))</f>
        <v/>
      </c>
      <c r="I60" s="10" cm="1" t="str">
        <f t="array" ref="I60">IF(C60="","",IF(OR(H60="",H60=0,H60=FALSE),"-",H60))</f>
        <v/>
      </c>
      <c r="J60" s="6">
</c>
      <c r="K60" s="6">
</c>
      <c r="L60" s="6" cm="1" t="str">
        <f t="array" ref="L60">IF(C60="","",IF(K60="Mort / Plus rien à faire","KO","OK"))</f>
        <v/>
      </c>
      <c r="M60" s="11">
</c>
      <c r="N60" s="11" cm="1" t="str">
        <f t="array" ref="N60">IF(OR(C60="",M60="",M60=0),"",M60)</f>
        <v/>
      </c>
      <c r="O60" s="11">
</c>
      <c r="P60" s="11" cm="1" t="str">
        <f t="array" ref="P60">IF(C60="","",IF(OR(O60="",O60=0),"-",O60))</f>
        <v/>
      </c>
      <c r="Q60" s="12">
</c>
      <c r="R60" s="6" cm="1" t="str">
        <f t="array" ref="R60">IF(C60="","",ROUND(Q60/1000000,3)&amp;" M€")</f>
        <v/>
      </c>
      <c r="S60" s="13">
</c>
      <c r="T60" s="6" cm="1" t="str">
        <f t="array" ref="T60">IF(C60="","",SUBSTITUTE(S60,"","")&amp;"%")</f>
        <v/>
      </c>
      <c r="U60" s="10"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c r="AK60" s="5">
</c>
    </row>
    <row r="61" ht="65.25" customHeight="1">
      <c r="A61" s="6">
</c>
      <c r="B61" s="6">
</c>
      <c r="C61" s="8">
</c>
      <c r="D61" s="9">
</c>
      <c r="E61" s="6">
</c>
      <c r="F61" s="6">
</c>
      <c r="G61" s="6" cm="1" t="str">
        <f t="array" ref="G61">IF(F61="","",SUBSTITUTE(SUBSTITUTE(SUBSTITUTE(SUBSTITUTE(F61,"&lt;li&gt;",CHAR(10)),"&lt;/li&gt;",""),"&lt;br&gt;",CHAR(10)),"&lt;strong&gt;",""))</f>
        <v/>
      </c>
      <c r="H61" s="6" cm="1" t="str">
        <f t="array" ref="H61">IF(G61="","",SUBSTITUTE(SUBSTITUTE(SUBSTITUTE(SUBSTITUTE(SUBSTITUTE(G61,"&lt;p&gt;",""),"&lt;/p&gt;",""),"&lt;ul&gt;",""),"&lt;/ul&gt;",""),"&lt;/strong&gt;",""))</f>
        <v/>
      </c>
      <c r="I61" s="10" cm="1" t="str">
        <f t="array" ref="I61">IF(C61="","",IF(OR(H61="",H61=0,H61=FALSE),"-",H61))</f>
        <v/>
      </c>
      <c r="J61" s="6">
</c>
      <c r="K61" s="6">
</c>
      <c r="L61" s="6" cm="1" t="str">
        <f t="array" ref="L61">IF(C61="","",IF(K61="Mort / Plus rien à faire","KO","OK"))</f>
        <v/>
      </c>
      <c r="M61" s="11">
</c>
      <c r="N61" s="11" cm="1" t="str">
        <f t="array" ref="N61">IF(OR(C61="",M61="",M61=0),"",M61)</f>
        <v/>
      </c>
      <c r="O61" s="11">
</c>
      <c r="P61" s="11" cm="1" t="str">
        <f t="array" ref="P61">IF(C61="","",IF(OR(O61="",O61=0),"-",O61))</f>
        <v/>
      </c>
      <c r="Q61" s="12">
</c>
      <c r="R61" s="6" cm="1" t="str">
        <f t="array" ref="R61">IF(C61="","",ROUND(Q61/1000000,3)&amp;" M€")</f>
        <v/>
      </c>
      <c r="S61" s="13">
</c>
      <c r="T61" s="6" cm="1" t="str">
        <f t="array" ref="T61">IF(C61="","",SUBSTITUTE(S61,"","")&amp;"%")</f>
        <v/>
      </c>
      <c r="U61" s="10"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c r="AK61" s="5">
</c>
    </row>
    <row r="62" ht="65.25" customHeight="1">
      <c r="A62" s="6">
</c>
      <c r="B62" s="6">
</c>
      <c r="C62" s="8">
</c>
      <c r="D62" s="9">
</c>
      <c r="E62" s="6">
</c>
      <c r="F62" s="6">
</c>
      <c r="G62" s="6" cm="1" t="str">
        <f t="array" ref="G62">IF(F62="","",SUBSTITUTE(SUBSTITUTE(SUBSTITUTE(SUBSTITUTE(F62,"&lt;li&gt;",CHAR(10)),"&lt;/li&gt;",""),"&lt;br&gt;",CHAR(10)),"&lt;strong&gt;",""))</f>
        <v/>
      </c>
      <c r="H62" s="6" cm="1" t="str">
        <f t="array" ref="H62">IF(G62="","",SUBSTITUTE(SUBSTITUTE(SUBSTITUTE(SUBSTITUTE(SUBSTITUTE(G62,"&lt;p&gt;",""),"&lt;/p&gt;",""),"&lt;ul&gt;",""),"&lt;/ul&gt;",""),"&lt;/strong&gt;",""))</f>
        <v/>
      </c>
      <c r="I62" s="10" cm="1" t="str">
        <f t="array" ref="I62">IF(C62="","",IF(OR(H62="",H62=0,H62=FALSE),"-",H62))</f>
        <v/>
      </c>
      <c r="J62" s="6">
</c>
      <c r="K62" s="6">
</c>
      <c r="L62" s="6" cm="1" t="str">
        <f t="array" ref="L62">IF(C62="","",IF(K62="Mort / Plus rien à faire","KO","OK"))</f>
        <v/>
      </c>
      <c r="M62" s="11">
</c>
      <c r="N62" s="11" cm="1" t="str">
        <f t="array" ref="N62">IF(OR(C62="",M62="",M62=0),"",M62)</f>
        <v/>
      </c>
      <c r="O62" s="11">
</c>
      <c r="P62" s="11" cm="1" t="str">
        <f t="array" ref="P62">IF(C62="","",IF(OR(O62="",O62=0),"-",O62))</f>
        <v/>
      </c>
      <c r="Q62" s="12">
</c>
      <c r="R62" s="6" cm="1" t="str">
        <f t="array" ref="R62">IF(C62="","",ROUND(Q62/1000000,3)&amp;" M€")</f>
        <v/>
      </c>
      <c r="S62" s="13">
</c>
      <c r="T62" s="6" cm="1" t="str">
        <f t="array" ref="T62">IF(C62="","",SUBSTITUTE(S62,"","")&amp;"%")</f>
        <v/>
      </c>
      <c r="U62" s="10"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c r="AK62" s="5">
</c>
    </row>
    <row r="63" ht="65.25" customHeight="1">
      <c r="A63" s="6">
</c>
      <c r="B63" s="6">
</c>
      <c r="C63" s="8">
</c>
      <c r="D63" s="9">
</c>
      <c r="E63" s="6">
</c>
      <c r="F63" s="6">
</c>
      <c r="G63" s="6" cm="1" t="str">
        <f t="array" ref="G63">IF(F63="","",SUBSTITUTE(SUBSTITUTE(SUBSTITUTE(SUBSTITUTE(F63,"&lt;li&gt;",CHAR(10)),"&lt;/li&gt;",""),"&lt;br&gt;",CHAR(10)),"&lt;strong&gt;",""))</f>
        <v/>
      </c>
      <c r="H63" s="6" cm="1" t="str">
        <f t="array" ref="H63">IF(G63="","",SUBSTITUTE(SUBSTITUTE(SUBSTITUTE(SUBSTITUTE(SUBSTITUTE(G63,"&lt;p&gt;",""),"&lt;/p&gt;",""),"&lt;ul&gt;",""),"&lt;/ul&gt;",""),"&lt;/strong&gt;",""))</f>
        <v/>
      </c>
      <c r="I63" s="10" cm="1" t="str">
        <f t="array" ref="I63">IF(C63="","",IF(OR(H63="",H63=0,H63=FALSE),"-",H63))</f>
        <v/>
      </c>
      <c r="J63" s="6">
</c>
      <c r="K63" s="6">
</c>
      <c r="L63" s="6" cm="1" t="str">
        <f t="array" ref="L63">IF(C63="","",IF(K63="Mort / Plus rien à faire","KO","OK"))</f>
        <v/>
      </c>
      <c r="M63" s="11">
</c>
      <c r="N63" s="11" cm="1" t="str">
        <f t="array" ref="N63">IF(OR(C63="",M63="",M63=0),"",M63)</f>
        <v/>
      </c>
      <c r="O63" s="11">
</c>
      <c r="P63" s="11" cm="1" t="str">
        <f t="array" ref="P63">IF(C63="","",IF(OR(O63="",O63=0),"-",O63))</f>
        <v/>
      </c>
      <c r="Q63" s="12">
</c>
      <c r="R63" s="6" cm="1" t="str">
        <f t="array" ref="R63">IF(C63="","",ROUND(Q63/1000000,3)&amp;" M€")</f>
        <v/>
      </c>
      <c r="S63" s="13">
</c>
      <c r="T63" s="6" cm="1" t="str">
        <f t="array" ref="T63">IF(C63="","",SUBSTITUTE(S63,"","")&amp;"%")</f>
        <v/>
      </c>
      <c r="U63" s="10"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c r="AK63" s="5">
</c>
    </row>
    <row r="64" ht="65.25" customHeight="1">
      <c r="A64" s="6">
</c>
      <c r="B64" s="6">
</c>
      <c r="C64" s="8">
</c>
      <c r="D64" s="9">
</c>
      <c r="E64" s="6">
</c>
      <c r="F64" s="6">
</c>
      <c r="G64" s="6" cm="1" t="str">
        <f t="array" ref="G64">IF(F64="","",SUBSTITUTE(SUBSTITUTE(SUBSTITUTE(SUBSTITUTE(F64,"&lt;li&gt;",CHAR(10)),"&lt;/li&gt;",""),"&lt;br&gt;",CHAR(10)),"&lt;strong&gt;",""))</f>
        <v/>
      </c>
      <c r="H64" s="6" cm="1" t="str">
        <f t="array" ref="H64">IF(G64="","",SUBSTITUTE(SUBSTITUTE(SUBSTITUTE(SUBSTITUTE(SUBSTITUTE(G64,"&lt;p&gt;",""),"&lt;/p&gt;",""),"&lt;ul&gt;",""),"&lt;/ul&gt;",""),"&lt;/strong&gt;",""))</f>
        <v/>
      </c>
      <c r="I64" s="10" cm="1" t="str">
        <f t="array" ref="I64">IF(C64="","",IF(OR(H64="",H64=0,H64=FALSE),"-",H64))</f>
        <v/>
      </c>
      <c r="J64" s="6">
</c>
      <c r="K64" s="6">
</c>
      <c r="L64" s="6" cm="1" t="str">
        <f t="array" ref="L64">IF(C64="","",IF(K64="Mort / Plus rien à faire","KO","OK"))</f>
        <v/>
      </c>
      <c r="M64" s="11">
</c>
      <c r="N64" s="11" cm="1" t="str">
        <f t="array" ref="N64">IF(OR(C64="",M64="",M64=0),"",M64)</f>
        <v/>
      </c>
      <c r="O64" s="11">
</c>
      <c r="P64" s="11" cm="1" t="str">
        <f t="array" ref="P64">IF(C64="","",IF(OR(O64="",O64=0),"-",O64))</f>
        <v/>
      </c>
      <c r="Q64" s="12">
</c>
      <c r="R64" s="6" cm="1" t="str">
        <f t="array" ref="R64">IF(C64="","",ROUND(Q64/1000000,3)&amp;" M€")</f>
        <v/>
      </c>
      <c r="S64" s="13">
</c>
      <c r="T64" s="6" cm="1" t="str">
        <f t="array" ref="T64">IF(C64="","",SUBSTITUTE(S64,"","")&amp;"%")</f>
        <v/>
      </c>
      <c r="U64" s="10"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c r="AK64" s="5">
</c>
    </row>
    <row r="65" ht="65.25" customHeight="1">
      <c r="A65" s="6">
</c>
      <c r="B65" s="6">
</c>
      <c r="C65" s="8">
</c>
      <c r="D65" s="9">
</c>
      <c r="E65" s="6">
</c>
      <c r="F65" s="6">
</c>
      <c r="G65" s="6" cm="1" t="str">
        <f t="array" ref="G65">IF(F65="","",SUBSTITUTE(SUBSTITUTE(SUBSTITUTE(SUBSTITUTE(F65,"&lt;li&gt;",CHAR(10)),"&lt;/li&gt;",""),"&lt;br&gt;",CHAR(10)),"&lt;strong&gt;",""))</f>
        <v/>
      </c>
      <c r="H65" s="6" cm="1" t="str">
        <f t="array" ref="H65">IF(G65="","",SUBSTITUTE(SUBSTITUTE(SUBSTITUTE(SUBSTITUTE(SUBSTITUTE(G65,"&lt;p&gt;",""),"&lt;/p&gt;",""),"&lt;ul&gt;",""),"&lt;/ul&gt;",""),"&lt;/strong&gt;",""))</f>
        <v/>
      </c>
      <c r="I65" s="10" cm="1" t="str">
        <f t="array" ref="I65">IF(C65="","",IF(OR(H65="",H65=0,H65=FALSE),"-",H65))</f>
        <v/>
      </c>
      <c r="J65" s="6">
</c>
      <c r="K65" s="6">
</c>
      <c r="L65" s="6" cm="1" t="str">
        <f t="array" ref="L65">IF(C65="","",IF(K65="Mort / Plus rien à faire","KO","OK"))</f>
        <v/>
      </c>
      <c r="M65" s="11">
</c>
      <c r="N65" s="11" cm="1" t="str">
        <f t="array" ref="N65">IF(OR(C65="",M65="",M65=0),"",M65)</f>
        <v/>
      </c>
      <c r="O65" s="11">
</c>
      <c r="P65" s="11" cm="1" t="str">
        <f t="array" ref="P65">IF(C65="","",IF(OR(O65="",O65=0),"-",O65))</f>
        <v/>
      </c>
      <c r="Q65" s="12">
</c>
      <c r="R65" s="6" cm="1" t="str">
        <f t="array" ref="R65">IF(C65="","",ROUND(Q65/1000000,3)&amp;" M€")</f>
        <v/>
      </c>
      <c r="S65" s="13">
</c>
      <c r="T65" s="6" cm="1" t="str">
        <f t="array" ref="T65">IF(C65="","",SUBSTITUTE(S65,"","")&amp;"%")</f>
        <v/>
      </c>
      <c r="U65" s="10"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c r="AK65" s="5">
</c>
    </row>
    <row r="66" ht="65.25" customHeight="1">
      <c r="A66" s="6">
</c>
      <c r="B66" s="6">
</c>
      <c r="C66" s="8">
</c>
      <c r="D66" s="9">
</c>
      <c r="E66" s="6">
</c>
      <c r="F66" s="6">
</c>
      <c r="G66" s="6" cm="1" t="str">
        <f t="array" ref="G66">IF(F66="","",SUBSTITUTE(SUBSTITUTE(SUBSTITUTE(SUBSTITUTE(F66,"&lt;li&gt;",CHAR(10)),"&lt;/li&gt;",""),"&lt;br&gt;",CHAR(10)),"&lt;strong&gt;",""))</f>
        <v/>
      </c>
      <c r="H66" s="6" cm="1" t="str">
        <f t="array" ref="H66">IF(G66="","",SUBSTITUTE(SUBSTITUTE(SUBSTITUTE(SUBSTITUTE(SUBSTITUTE(G66,"&lt;p&gt;",""),"&lt;/p&gt;",""),"&lt;ul&gt;",""),"&lt;/ul&gt;",""),"&lt;/strong&gt;",""))</f>
        <v/>
      </c>
      <c r="I66" s="10" cm="1" t="str">
        <f t="array" ref="I66">IF(C66="","",IF(OR(H66="",H66=0,H66=FALSE),"-",H66))</f>
        <v/>
      </c>
      <c r="J66" s="6">
</c>
      <c r="K66" s="6">
</c>
      <c r="L66" s="6" cm="1" t="str">
        <f t="array" ref="L66">IF(C66="","",IF(K66="Mort / Plus rien à faire","KO","OK"))</f>
        <v/>
      </c>
      <c r="M66" s="11">
</c>
      <c r="N66" s="11" cm="1" t="str">
        <f t="array" ref="N66">IF(OR(C66="",M66="",M66=0),"",M66)</f>
        <v/>
      </c>
      <c r="O66" s="11">
</c>
      <c r="P66" s="11" cm="1" t="str">
        <f t="array" ref="P66">IF(C66="","",IF(OR(O66="",O66=0),"-",O66))</f>
        <v/>
      </c>
      <c r="Q66" s="12">
</c>
      <c r="R66" s="6" cm="1" t="str">
        <f t="array" ref="R66">IF(C66="","",ROUND(Q66/1000000,3)&amp;" M€")</f>
        <v/>
      </c>
      <c r="S66" s="13">
</c>
      <c r="T66" s="6" cm="1" t="str">
        <f t="array" ref="T66">IF(C66="","",SUBSTITUTE(S66,"","")&amp;"%")</f>
        <v/>
      </c>
      <c r="U66" s="10"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c r="AK66" s="5">
</c>
    </row>
    <row r="67" ht="65.25" customHeight="1">
      <c r="A67" s="6">
</c>
      <c r="B67" s="6">
</c>
      <c r="C67" s="8">
</c>
      <c r="D67" s="9">
</c>
      <c r="E67" s="6">
</c>
      <c r="F67" s="6">
</c>
      <c r="G67" s="6" cm="1" t="str">
        <f t="array" ref="G67">IF(F67="","",SUBSTITUTE(SUBSTITUTE(SUBSTITUTE(SUBSTITUTE(F67,"&lt;li&gt;",CHAR(10)),"&lt;/li&gt;",""),"&lt;br&gt;",CHAR(10)),"&lt;strong&gt;",""))</f>
        <v/>
      </c>
      <c r="H67" s="6" cm="1" t="str">
        <f t="array" ref="H67">IF(G67="","",SUBSTITUTE(SUBSTITUTE(SUBSTITUTE(SUBSTITUTE(SUBSTITUTE(G67,"&lt;p&gt;",""),"&lt;/p&gt;",""),"&lt;ul&gt;",""),"&lt;/ul&gt;",""),"&lt;/strong&gt;",""))</f>
        <v/>
      </c>
      <c r="I67" s="10" cm="1" t="str">
        <f t="array" ref="I67">IF(C67="","",IF(OR(H67="",H67=0,H67=FALSE),"-",H67))</f>
        <v/>
      </c>
      <c r="J67" s="6">
</c>
      <c r="K67" s="6">
</c>
      <c r="L67" s="6" cm="1" t="str">
        <f t="array" ref="L67">IF(C67="","",IF(K67="Mort / Plus rien à faire","KO","OK"))</f>
        <v/>
      </c>
      <c r="M67" s="11">
</c>
      <c r="N67" s="11" cm="1" t="str">
        <f t="array" ref="N67">IF(OR(C67="",M67="",M67=0),"",M67)</f>
        <v/>
      </c>
      <c r="O67" s="11">
</c>
      <c r="P67" s="11" cm="1" t="str">
        <f t="array" ref="P67">IF(C67="","",IF(OR(O67="",O67=0),"-",O67))</f>
        <v/>
      </c>
      <c r="Q67" s="12">
</c>
      <c r="R67" s="6" cm="1" t="str">
        <f t="array" ref="R67">IF(C67="","",ROUND(Q67/1000000,3)&amp;" M€")</f>
        <v/>
      </c>
      <c r="S67" s="13">
</c>
      <c r="T67" s="6" cm="1" t="str">
        <f t="array" ref="T67">IF(C67="","",SUBSTITUTE(S67,"","")&amp;"%")</f>
        <v/>
      </c>
      <c r="U67" s="10"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c r="AK67" s="5">
</c>
    </row>
    <row r="68" ht="65.25" customHeight="1">
      <c r="A68" s="6">
</c>
      <c r="B68" s="6">
</c>
      <c r="C68" s="8">
</c>
      <c r="D68" s="9">
</c>
      <c r="E68" s="6">
</c>
      <c r="F68" s="6">
</c>
      <c r="G68" s="6" cm="1" t="str">
        <f t="array" ref="G68">IF(F68="","",SUBSTITUTE(SUBSTITUTE(SUBSTITUTE(SUBSTITUTE(F68,"&lt;li&gt;",CHAR(10)),"&lt;/li&gt;",""),"&lt;br&gt;",CHAR(10)),"&lt;strong&gt;",""))</f>
        <v/>
      </c>
      <c r="H68" s="6" cm="1" t="str">
        <f t="array" ref="H68">IF(G68="","",SUBSTITUTE(SUBSTITUTE(SUBSTITUTE(SUBSTITUTE(SUBSTITUTE(G68,"&lt;p&gt;",""),"&lt;/p&gt;",""),"&lt;ul&gt;",""),"&lt;/ul&gt;",""),"&lt;/strong&gt;",""))</f>
        <v/>
      </c>
      <c r="I68" s="10" cm="1" t="str">
        <f t="array" ref="I68">IF(C68="","",IF(OR(H68="",H68=0,H68=FALSE),"-",H68))</f>
        <v/>
      </c>
      <c r="J68" s="6">
</c>
      <c r="K68" s="6">
</c>
      <c r="L68" s="6" cm="1" t="str">
        <f t="array" ref="L68">IF(C68="","",IF(K68="Mort / Plus rien à faire","KO","OK"))</f>
        <v/>
      </c>
      <c r="M68" s="11">
</c>
      <c r="N68" s="11" cm="1" t="str">
        <f t="array" ref="N68">IF(OR(C68="",M68="",M68=0),"",M68)</f>
        <v/>
      </c>
      <c r="O68" s="11">
</c>
      <c r="P68" s="11" cm="1" t="str">
        <f t="array" ref="P68">IF(C68="","",IF(OR(O68="",O68=0),"-",O68))</f>
        <v/>
      </c>
      <c r="Q68" s="12">
</c>
      <c r="R68" s="6" cm="1" t="str">
        <f t="array" ref="R68">IF(C68="","",ROUND(Q68/1000000,3)&amp;" M€")</f>
        <v/>
      </c>
      <c r="S68" s="13">
</c>
      <c r="T68" s="6" cm="1" t="str">
        <f t="array" ref="T68">IF(C68="","",SUBSTITUTE(S68,"","")&amp;"%")</f>
        <v/>
      </c>
      <c r="U68" s="10"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c r="AK68" s="5">
</c>
    </row>
    <row r="69" ht="65.25" customHeight="1">
      <c r="A69" s="6">
</c>
      <c r="B69" s="6">
</c>
      <c r="C69" s="8">
</c>
      <c r="D69" s="9">
</c>
      <c r="E69" s="6">
</c>
      <c r="F69" s="6">
</c>
      <c r="G69" s="6" cm="1" t="str">
        <f t="array" ref="G69">IF(F69="","",SUBSTITUTE(SUBSTITUTE(SUBSTITUTE(SUBSTITUTE(F69,"&lt;li&gt;",CHAR(10)),"&lt;/li&gt;",""),"&lt;br&gt;",CHAR(10)),"&lt;strong&gt;",""))</f>
        <v/>
      </c>
      <c r="H69" s="6" cm="1" t="str">
        <f t="array" ref="H69">IF(G69="","",SUBSTITUTE(SUBSTITUTE(SUBSTITUTE(SUBSTITUTE(SUBSTITUTE(G69,"&lt;p&gt;",""),"&lt;/p&gt;",""),"&lt;ul&gt;",""),"&lt;/ul&gt;",""),"&lt;/strong&gt;",""))</f>
        <v/>
      </c>
      <c r="I69" s="10" cm="1" t="str">
        <f t="array" ref="I69">IF(C69="","",IF(OR(H69="",H69=0,H69=FALSE),"-",H69))</f>
        <v/>
      </c>
      <c r="J69" s="6">
</c>
      <c r="K69" s="6">
</c>
      <c r="L69" s="6" cm="1" t="str">
        <f t="array" ref="L69">IF(C69="","",IF(K69="Mort / Plus rien à faire","KO","OK"))</f>
        <v/>
      </c>
      <c r="M69" s="11">
</c>
      <c r="N69" s="11" cm="1" t="str">
        <f t="array" ref="N69">IF(OR(C69="",M69="",M69=0),"",M69)</f>
        <v/>
      </c>
      <c r="O69" s="11">
</c>
      <c r="P69" s="11" cm="1" t="str">
        <f t="array" ref="P69">IF(C69="","",IF(OR(O69="",O69=0),"-",O69))</f>
        <v/>
      </c>
      <c r="Q69" s="12">
</c>
      <c r="R69" s="6" cm="1" t="str">
        <f t="array" ref="R69">IF(C69="","",ROUND(Q69/1000000,3)&amp;" M€")</f>
        <v/>
      </c>
      <c r="S69" s="13">
</c>
      <c r="T69" s="6" cm="1" t="str">
        <f t="array" ref="T69">IF(C69="","",SUBSTITUTE(S69,"","")&amp;"%")</f>
        <v/>
      </c>
      <c r="U69" s="10"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c r="AK69" s="5">
</c>
    </row>
    <row r="70" ht="65.25" customHeight="1">
      <c r="A70" s="6">
</c>
      <c r="B70" s="6">
</c>
      <c r="C70" s="8">
</c>
      <c r="D70" s="9">
</c>
      <c r="E70" s="6">
</c>
      <c r="F70" s="6">
</c>
      <c r="G70" s="6" cm="1" t="str">
        <f t="array" ref="G70">IF(F70="","",SUBSTITUTE(SUBSTITUTE(SUBSTITUTE(SUBSTITUTE(F70,"&lt;li&gt;",CHAR(10)),"&lt;/li&gt;",""),"&lt;br&gt;",CHAR(10)),"&lt;strong&gt;",""))</f>
        <v/>
      </c>
      <c r="H70" s="6" cm="1" t="str">
        <f t="array" ref="H70">IF(G70="","",SUBSTITUTE(SUBSTITUTE(SUBSTITUTE(SUBSTITUTE(SUBSTITUTE(G70,"&lt;p&gt;",""),"&lt;/p&gt;",""),"&lt;ul&gt;",""),"&lt;/ul&gt;",""),"&lt;/strong&gt;",""))</f>
        <v/>
      </c>
      <c r="I70" s="10" cm="1" t="str">
        <f t="array" ref="I70">IF(C70="","",IF(OR(H70="",H70=0,H70=FALSE),"-",H70))</f>
        <v/>
      </c>
      <c r="J70" s="6">
</c>
      <c r="K70" s="6">
</c>
      <c r="L70" s="6" cm="1" t="str">
        <f t="array" ref="L70">IF(C70="","",IF(K70="Mort / Plus rien à faire","KO","OK"))</f>
        <v/>
      </c>
      <c r="M70" s="11">
</c>
      <c r="N70" s="11" cm="1" t="str">
        <f t="array" ref="N70">IF(OR(C70="",M70="",M70=0),"",M70)</f>
        <v/>
      </c>
      <c r="O70" s="11">
</c>
      <c r="P70" s="11" cm="1" t="str">
        <f t="array" ref="P70">IF(C70="","",IF(OR(O70="",O70=0),"-",O70))</f>
        <v/>
      </c>
      <c r="Q70" s="12">
</c>
      <c r="R70" s="6" cm="1" t="str">
        <f t="array" ref="R70">IF(C70="","",ROUND(Q70/1000000,3)&amp;" M€")</f>
        <v/>
      </c>
      <c r="S70" s="13">
</c>
      <c r="T70" s="6" cm="1" t="str">
        <f t="array" ref="T70">IF(C70="","",SUBSTITUTE(S70,"","")&amp;"%")</f>
        <v/>
      </c>
      <c r="U70" s="10"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c r="AK70" s="5">
</c>
    </row>
    <row r="71" ht="65.25" customHeight="1">
      <c r="A71" s="6">
</c>
      <c r="B71" s="6">
</c>
      <c r="C71" s="8">
</c>
      <c r="D71" s="9">
</c>
      <c r="E71" s="6">
</c>
      <c r="F71" s="6">
</c>
      <c r="G71" s="6" cm="1" t="str">
        <f t="array" ref="G71">IF(F71="","",SUBSTITUTE(SUBSTITUTE(SUBSTITUTE(SUBSTITUTE(F71,"&lt;li&gt;",CHAR(10)),"&lt;/li&gt;",""),"&lt;br&gt;",CHAR(10)),"&lt;strong&gt;",""))</f>
        <v/>
      </c>
      <c r="H71" s="6" cm="1" t="str">
        <f t="array" ref="H71">IF(G71="","",SUBSTITUTE(SUBSTITUTE(SUBSTITUTE(SUBSTITUTE(SUBSTITUTE(G71,"&lt;p&gt;",""),"&lt;/p&gt;",""),"&lt;ul&gt;",""),"&lt;/ul&gt;",""),"&lt;/strong&gt;",""))</f>
        <v/>
      </c>
      <c r="I71" s="10" cm="1" t="str">
        <f t="array" ref="I71">IF(C71="","",IF(OR(H71="",H71=0,H71=FALSE),"-",H71))</f>
        <v/>
      </c>
      <c r="J71" s="6">
</c>
      <c r="K71" s="6">
</c>
      <c r="L71" s="6" cm="1" t="str">
        <f t="array" ref="L71">IF(C71="","",IF(K71="Mort / Plus rien à faire","KO","OK"))</f>
        <v/>
      </c>
      <c r="M71" s="11">
</c>
      <c r="N71" s="11" cm="1" t="str">
        <f t="array" ref="N71">IF(OR(C71="",M71="",M71=0),"",M71)</f>
        <v/>
      </c>
      <c r="O71" s="11">
</c>
      <c r="P71" s="11" cm="1" t="str">
        <f t="array" ref="P71">IF(C71="","",IF(OR(O71="",O71=0),"-",O71))</f>
        <v/>
      </c>
      <c r="Q71" s="12">
</c>
      <c r="R71" s="6" cm="1" t="str">
        <f t="array" ref="R71">IF(C71="","",ROUND(Q71/1000000,3)&amp;" M€")</f>
        <v/>
      </c>
      <c r="S71" s="13">
</c>
      <c r="T71" s="6" cm="1" t="str">
        <f t="array" ref="T71">IF(C71="","",SUBSTITUTE(S71,"","")&amp;"%")</f>
        <v/>
      </c>
      <c r="U71" s="10"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c r="AK71" s="5">
</c>
    </row>
    <row r="72" ht="65.25" customHeight="1">
      <c r="A72" s="6">
</c>
      <c r="B72" s="6">
</c>
      <c r="C72" s="8">
</c>
      <c r="D72" s="9">
</c>
      <c r="E72" s="6">
</c>
      <c r="F72" s="6">
</c>
      <c r="G72" s="6" cm="1" t="str">
        <f t="array" ref="G72">IF(F72="","",SUBSTITUTE(SUBSTITUTE(SUBSTITUTE(SUBSTITUTE(F72,"&lt;li&gt;",CHAR(10)),"&lt;/li&gt;",""),"&lt;br&gt;",CHAR(10)),"&lt;strong&gt;",""))</f>
        <v/>
      </c>
      <c r="H72" s="6" cm="1" t="str">
        <f t="array" ref="H72">IF(G72="","",SUBSTITUTE(SUBSTITUTE(SUBSTITUTE(SUBSTITUTE(SUBSTITUTE(G72,"&lt;p&gt;",""),"&lt;/p&gt;",""),"&lt;ul&gt;",""),"&lt;/ul&gt;",""),"&lt;/strong&gt;",""))</f>
        <v/>
      </c>
      <c r="I72" s="10" cm="1" t="str">
        <f t="array" ref="I72">IF(C72="","",IF(OR(H72="",H72=0,H72=FALSE),"-",H72))</f>
        <v/>
      </c>
      <c r="J72" s="6">
</c>
      <c r="K72" s="6">
</c>
      <c r="L72" s="6" cm="1" t="str">
        <f t="array" ref="L72">IF(C72="","",IF(K72="Mort / Plus rien à faire","KO","OK"))</f>
        <v/>
      </c>
      <c r="M72" s="11">
</c>
      <c r="N72" s="11" cm="1" t="str">
        <f t="array" ref="N72">IF(OR(C72="",M72="",M72=0),"",M72)</f>
        <v/>
      </c>
      <c r="O72" s="11">
</c>
      <c r="P72" s="11" cm="1" t="str">
        <f t="array" ref="P72">IF(C72="","",IF(OR(O72="",O72=0),"-",O72))</f>
        <v/>
      </c>
      <c r="Q72" s="12">
</c>
      <c r="R72" s="6" cm="1" t="str">
        <f t="array" ref="R72">IF(C72="","",ROUND(Q72/1000000,3)&amp;" M€")</f>
        <v/>
      </c>
      <c r="S72" s="13">
</c>
      <c r="T72" s="6" cm="1" t="str">
        <f t="array" ref="T72">IF(C72="","",SUBSTITUTE(S72,"","")&amp;"%")</f>
        <v/>
      </c>
      <c r="U72" s="10"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c r="AK72" s="5">
</c>
    </row>
    <row r="73" ht="65.25" customHeight="1">
      <c r="A73" s="6">
</c>
      <c r="B73" s="6">
</c>
      <c r="C73" s="8">
</c>
      <c r="D73" s="9">
</c>
      <c r="E73" s="6">
</c>
      <c r="F73" s="6">
</c>
      <c r="G73" s="6" cm="1" t="str">
        <f t="array" ref="G73">IF(F73="","",SUBSTITUTE(SUBSTITUTE(SUBSTITUTE(SUBSTITUTE(F73,"&lt;li&gt;",CHAR(10)),"&lt;/li&gt;",""),"&lt;br&gt;",CHAR(10)),"&lt;strong&gt;",""))</f>
        <v/>
      </c>
      <c r="H73" s="6" cm="1" t="str">
        <f t="array" ref="H73">IF(G73="","",SUBSTITUTE(SUBSTITUTE(SUBSTITUTE(SUBSTITUTE(SUBSTITUTE(G73,"&lt;p&gt;",""),"&lt;/p&gt;",""),"&lt;ul&gt;",""),"&lt;/ul&gt;",""),"&lt;/strong&gt;",""))</f>
        <v/>
      </c>
      <c r="I73" s="10" cm="1" t="str">
        <f t="array" ref="I73">IF(C73="","",IF(OR(H73="",H73=0,H73=FALSE),"-",H73))</f>
        <v/>
      </c>
      <c r="J73" s="6">
</c>
      <c r="K73" s="6">
</c>
      <c r="L73" s="6" cm="1" t="str">
        <f t="array" ref="L73">IF(C73="","",IF(K73="Mort / Plus rien à faire","KO","OK"))</f>
        <v/>
      </c>
      <c r="M73" s="11">
</c>
      <c r="N73" s="11" cm="1" t="str">
        <f t="array" ref="N73">IF(OR(C73="",M73="",M73=0),"",M73)</f>
        <v/>
      </c>
      <c r="O73" s="11">
</c>
      <c r="P73" s="11" cm="1" t="str">
        <f t="array" ref="P73">IF(C73="","",IF(OR(O73="",O73=0),"-",O73))</f>
        <v/>
      </c>
      <c r="Q73" s="12">
</c>
      <c r="R73" s="6" cm="1" t="str">
        <f t="array" ref="R73">IF(C73="","",ROUND(Q73/1000000,3)&amp;" M€")</f>
        <v/>
      </c>
      <c r="S73" s="13">
</c>
      <c r="T73" s="6" cm="1" t="str">
        <f t="array" ref="T73">IF(C73="","",SUBSTITUTE(S73,"","")&amp;"%")</f>
        <v/>
      </c>
      <c r="U73" s="10"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c r="AK73" s="5">
</c>
    </row>
    <row r="74" ht="65.25" customHeight="1">
      <c r="A74" s="6">
</c>
      <c r="B74" s="6">
</c>
      <c r="C74" s="8">
</c>
      <c r="D74" s="9">
</c>
      <c r="E74" s="6">
</c>
      <c r="F74" s="6">
</c>
      <c r="G74" s="6" cm="1" t="str">
        <f t="array" ref="G74">IF(F74="","",SUBSTITUTE(SUBSTITUTE(SUBSTITUTE(SUBSTITUTE(F74,"&lt;li&gt;",CHAR(10)),"&lt;/li&gt;",""),"&lt;br&gt;",CHAR(10)),"&lt;strong&gt;",""))</f>
        <v/>
      </c>
      <c r="H74" s="6" cm="1" t="str">
        <f t="array" ref="H74">IF(G74="","",SUBSTITUTE(SUBSTITUTE(SUBSTITUTE(SUBSTITUTE(SUBSTITUTE(G74,"&lt;p&gt;",""),"&lt;/p&gt;",""),"&lt;ul&gt;",""),"&lt;/ul&gt;",""),"&lt;/strong&gt;",""))</f>
        <v/>
      </c>
      <c r="I74" s="10" cm="1" t="str">
        <f t="array" ref="I74">IF(C74="","",IF(OR(H74="",H74=0,H74=FALSE),"-",H74))</f>
        <v/>
      </c>
      <c r="J74" s="6">
</c>
      <c r="K74" s="6">
</c>
      <c r="L74" s="6" cm="1" t="str">
        <f t="array" ref="L74">IF(C74="","",IF(K74="Mort / Plus rien à faire","KO","OK"))</f>
        <v/>
      </c>
      <c r="M74" s="11">
</c>
      <c r="N74" s="11" cm="1" t="str">
        <f t="array" ref="N74">IF(OR(C74="",M74="",M74=0),"",M74)</f>
        <v/>
      </c>
      <c r="O74" s="11">
</c>
      <c r="P74" s="11" cm="1" t="str">
        <f t="array" ref="P74">IF(C74="","",IF(OR(O74="",O74=0),"-",O74))</f>
        <v/>
      </c>
      <c r="Q74" s="12">
</c>
      <c r="R74" s="6" cm="1" t="str">
        <f t="array" ref="R74">IF(C74="","",ROUND(Q74/1000000,3)&amp;" M€")</f>
        <v/>
      </c>
      <c r="S74" s="13">
</c>
      <c r="T74" s="6" cm="1" t="str">
        <f t="array" ref="T74">IF(C74="","",SUBSTITUTE(S74,"","")&amp;"%")</f>
        <v/>
      </c>
      <c r="U74" s="10"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c r="AK74" s="5">
</c>
    </row>
    <row r="75" ht="65.25" customHeight="1">
      <c r="A75" s="6">
</c>
      <c r="B75" s="6">
</c>
      <c r="C75" s="8">
</c>
      <c r="D75" s="9">
</c>
      <c r="E75" s="6">
</c>
      <c r="F75" s="6">
</c>
      <c r="G75" s="6" cm="1" t="str">
        <f t="array" ref="G75">IF(F75="","",SUBSTITUTE(SUBSTITUTE(SUBSTITUTE(SUBSTITUTE(F75,"&lt;li&gt;",CHAR(10)),"&lt;/li&gt;",""),"&lt;br&gt;",CHAR(10)),"&lt;strong&gt;",""))</f>
        <v/>
      </c>
      <c r="H75" s="6" cm="1" t="str">
        <f t="array" ref="H75">IF(G75="","",SUBSTITUTE(SUBSTITUTE(SUBSTITUTE(SUBSTITUTE(SUBSTITUTE(G75,"&lt;p&gt;",""),"&lt;/p&gt;",""),"&lt;ul&gt;",""),"&lt;/ul&gt;",""),"&lt;/strong&gt;",""))</f>
        <v/>
      </c>
      <c r="I75" s="10" cm="1" t="str">
        <f t="array" ref="I75">IF(C75="","",IF(OR(H75="",H75=0,H75=FALSE),"-",H75))</f>
        <v/>
      </c>
      <c r="J75" s="6">
</c>
      <c r="K75" s="6">
</c>
      <c r="L75" s="6" cm="1" t="str">
        <f t="array" ref="L75">IF(C75="","",IF(K75="Mort / Plus rien à faire","KO","OK"))</f>
        <v/>
      </c>
      <c r="M75" s="11">
</c>
      <c r="N75" s="11" cm="1" t="str">
        <f t="array" ref="N75">IF(OR(C75="",M75="",M75=0),"",M75)</f>
        <v/>
      </c>
      <c r="O75" s="11">
</c>
      <c r="P75" s="11" cm="1" t="str">
        <f t="array" ref="P75">IF(C75="","",IF(OR(O75="",O75=0),"-",O75))</f>
        <v/>
      </c>
      <c r="Q75" s="12">
</c>
      <c r="R75" s="6" cm="1" t="str">
        <f t="array" ref="R75">IF(C75="","",ROUND(Q75/1000000,3)&amp;" M€")</f>
        <v/>
      </c>
      <c r="S75" s="13">
</c>
      <c r="T75" s="6" cm="1" t="str">
        <f t="array" ref="T75">IF(C75="","",SUBSTITUTE(S75,"","")&amp;"%")</f>
        <v/>
      </c>
      <c r="U75" s="10"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c r="AK75" s="5">
</c>
    </row>
    <row r="76" ht="65.25" customHeight="1">
      <c r="A76" s="6">
</c>
      <c r="B76" s="6">
</c>
      <c r="C76" s="8">
</c>
      <c r="D76" s="9">
</c>
      <c r="E76" s="6">
</c>
      <c r="F76" s="6">
</c>
      <c r="G76" s="6" cm="1" t="str">
        <f t="array" ref="G76">IF(F76="","",SUBSTITUTE(SUBSTITUTE(SUBSTITUTE(SUBSTITUTE(F76,"&lt;li&gt;",CHAR(10)),"&lt;/li&gt;",""),"&lt;br&gt;",CHAR(10)),"&lt;strong&gt;",""))</f>
        <v/>
      </c>
      <c r="H76" s="6" cm="1" t="str">
        <f t="array" ref="H76">IF(G76="","",SUBSTITUTE(SUBSTITUTE(SUBSTITUTE(SUBSTITUTE(SUBSTITUTE(G76,"&lt;p&gt;",""),"&lt;/p&gt;",""),"&lt;ul&gt;",""),"&lt;/ul&gt;",""),"&lt;/strong&gt;",""))</f>
        <v/>
      </c>
      <c r="I76" s="10" cm="1" t="str">
        <f t="array" ref="I76">IF(C76="","",IF(OR(H76="",H76=0,H76=FALSE),"-",H76))</f>
        <v/>
      </c>
      <c r="J76" s="6">
</c>
      <c r="K76" s="6">
</c>
      <c r="L76" s="6" cm="1" t="str">
        <f t="array" ref="L76">IF(C76="","",IF(K76="Mort / Plus rien à faire","KO","OK"))</f>
        <v/>
      </c>
      <c r="M76" s="11">
</c>
      <c r="N76" s="11" cm="1" t="str">
        <f t="array" ref="N76">IF(OR(C76="",M76="",M76=0),"",M76)</f>
        <v/>
      </c>
      <c r="O76" s="11">
</c>
      <c r="P76" s="11" cm="1" t="str">
        <f t="array" ref="P76">IF(C76="","",IF(OR(O76="",O76=0),"-",O76))</f>
        <v/>
      </c>
      <c r="Q76" s="12">
</c>
      <c r="R76" s="6" cm="1" t="str">
        <f t="array" ref="R76">IF(C76="","",ROUND(Q76/1000000,3)&amp;" M€")</f>
        <v/>
      </c>
      <c r="S76" s="13">
</c>
      <c r="T76" s="6" cm="1" t="str">
        <f t="array" ref="T76">IF(C76="","",SUBSTITUTE(S76,"","")&amp;"%")</f>
        <v/>
      </c>
      <c r="U76" s="10"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c r="AK76" s="5">
</c>
    </row>
    <row r="77" ht="65.25" customHeight="1">
      <c r="A77" s="6">
</c>
      <c r="B77" s="6">
</c>
      <c r="C77" s="8">
</c>
      <c r="D77" s="9">
</c>
      <c r="E77" s="6">
</c>
      <c r="F77" s="6">
</c>
      <c r="G77" s="6" cm="1" t="str">
        <f t="array" ref="G77">IF(F77="","",SUBSTITUTE(SUBSTITUTE(SUBSTITUTE(SUBSTITUTE(F77,"&lt;li&gt;",CHAR(10)),"&lt;/li&gt;",""),"&lt;br&gt;",CHAR(10)),"&lt;strong&gt;",""))</f>
        <v/>
      </c>
      <c r="H77" s="6" cm="1" t="str">
        <f t="array" ref="H77">IF(G77="","",SUBSTITUTE(SUBSTITUTE(SUBSTITUTE(SUBSTITUTE(SUBSTITUTE(G77,"&lt;p&gt;",""),"&lt;/p&gt;",""),"&lt;ul&gt;",""),"&lt;/ul&gt;",""),"&lt;/strong&gt;",""))</f>
        <v/>
      </c>
      <c r="I77" s="10" cm="1" t="str">
        <f t="array" ref="I77">IF(C77="","",IF(OR(H77="",H77=0,H77=FALSE),"-",H77))</f>
        <v/>
      </c>
      <c r="J77" s="6">
</c>
      <c r="K77" s="6">
</c>
      <c r="L77" s="6" cm="1" t="str">
        <f t="array" ref="L77">IF(C77="","",IF(K77="Mort / Plus rien à faire","KO","OK"))</f>
        <v/>
      </c>
      <c r="M77" s="11">
</c>
      <c r="N77" s="11" cm="1" t="str">
        <f t="array" ref="N77">IF(OR(C77="",M77="",M77=0),"",M77)</f>
        <v/>
      </c>
      <c r="O77" s="11">
</c>
      <c r="P77" s="11" cm="1" t="str">
        <f t="array" ref="P77">IF(C77="","",IF(OR(O77="",O77=0),"-",O77))</f>
        <v/>
      </c>
      <c r="Q77" s="12">
</c>
      <c r="R77" s="6" cm="1" t="str">
        <f t="array" ref="R77">IF(C77="","",ROUND(Q77/1000000,3)&amp;" M€")</f>
        <v/>
      </c>
      <c r="S77" s="13">
</c>
      <c r="T77" s="6" cm="1" t="str">
        <f t="array" ref="T77">IF(C77="","",SUBSTITUTE(S77,"","")&amp;"%")</f>
        <v/>
      </c>
      <c r="U77" s="10"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c r="AK77" s="5">
</c>
    </row>
    <row r="78" ht="65.25" customHeight="1">
      <c r="A78" s="6">
</c>
      <c r="B78" s="6">
</c>
      <c r="C78" s="8">
</c>
      <c r="D78" s="9">
</c>
      <c r="E78" s="6">
</c>
      <c r="F78" s="6">
</c>
      <c r="G78" s="6" cm="1" t="str">
        <f t="array" ref="G78">IF(F78="","",SUBSTITUTE(SUBSTITUTE(SUBSTITUTE(SUBSTITUTE(F78,"&lt;li&gt;",CHAR(10)),"&lt;/li&gt;",""),"&lt;br&gt;",CHAR(10)),"&lt;strong&gt;",""))</f>
        <v/>
      </c>
      <c r="H78" s="6" cm="1" t="str">
        <f t="array" ref="H78">IF(G78="","",SUBSTITUTE(SUBSTITUTE(SUBSTITUTE(SUBSTITUTE(SUBSTITUTE(G78,"&lt;p&gt;",""),"&lt;/p&gt;",""),"&lt;ul&gt;",""),"&lt;/ul&gt;",""),"&lt;/strong&gt;",""))</f>
        <v/>
      </c>
      <c r="I78" s="10" cm="1" t="str">
        <f t="array" ref="I78">IF(C78="","",IF(OR(H78="",H78=0,H78=FALSE),"-",H78))</f>
        <v/>
      </c>
      <c r="J78" s="6">
</c>
      <c r="K78" s="6">
</c>
      <c r="L78" s="6" cm="1" t="str">
        <f t="array" ref="L78">IF(C78="","",IF(K78="Mort / Plus rien à faire","KO","OK"))</f>
        <v/>
      </c>
      <c r="M78" s="11">
</c>
      <c r="N78" s="11" cm="1" t="str">
        <f t="array" ref="N78">IF(OR(C78="",M78="",M78=0),"",M78)</f>
        <v/>
      </c>
      <c r="O78" s="11">
</c>
      <c r="P78" s="11" cm="1" t="str">
        <f t="array" ref="P78">IF(C78="","",IF(OR(O78="",O78=0),"-",O78))</f>
        <v/>
      </c>
      <c r="Q78" s="12">
</c>
      <c r="R78" s="6" cm="1" t="str">
        <f t="array" ref="R78">IF(C78="","",ROUND(Q78/1000000,3)&amp;" M€")</f>
        <v/>
      </c>
      <c r="S78" s="13">
</c>
      <c r="T78" s="6" cm="1" t="str">
        <f t="array" ref="T78">IF(C78="","",SUBSTITUTE(S78,"","")&amp;"%")</f>
        <v/>
      </c>
      <c r="U78" s="10"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c r="AK78" s="5">
</c>
    </row>
    <row r="79" ht="65.25" customHeight="1">
      <c r="A79" s="6">
</c>
      <c r="B79" s="6">
</c>
      <c r="C79" s="8">
</c>
      <c r="D79" s="9">
</c>
      <c r="E79" s="6">
</c>
      <c r="F79" s="6">
</c>
      <c r="G79" s="6" cm="1" t="str">
        <f t="array" ref="G79">IF(F79="","",SUBSTITUTE(SUBSTITUTE(SUBSTITUTE(SUBSTITUTE(F79,"&lt;li&gt;",CHAR(10)),"&lt;/li&gt;",""),"&lt;br&gt;",CHAR(10)),"&lt;strong&gt;",""))</f>
        <v/>
      </c>
      <c r="H79" s="6" cm="1" t="str">
        <f t="array" ref="H79">IF(G79="","",SUBSTITUTE(SUBSTITUTE(SUBSTITUTE(SUBSTITUTE(SUBSTITUTE(G79,"&lt;p&gt;",""),"&lt;/p&gt;",""),"&lt;ul&gt;",""),"&lt;/ul&gt;",""),"&lt;/strong&gt;",""))</f>
        <v/>
      </c>
      <c r="I79" s="10" cm="1" t="str">
        <f t="array" ref="I79">IF(C79="","",IF(OR(H79="",H79=0,H79=FALSE),"-",H79))</f>
        <v/>
      </c>
      <c r="J79" s="6">
</c>
      <c r="K79" s="6">
</c>
      <c r="L79" s="6" cm="1" t="str">
        <f t="array" ref="L79">IF(C79="","",IF(K79="Mort / Plus rien à faire","KO","OK"))</f>
        <v/>
      </c>
      <c r="M79" s="11">
</c>
      <c r="N79" s="11" cm="1" t="str">
        <f t="array" ref="N79">IF(OR(C79="",M79="",M79=0),"",M79)</f>
        <v/>
      </c>
      <c r="O79" s="11">
</c>
      <c r="P79" s="11" cm="1" t="str">
        <f t="array" ref="P79">IF(C79="","",IF(OR(O79="",O79=0),"-",O79))</f>
        <v/>
      </c>
      <c r="Q79" s="12">
</c>
      <c r="R79" s="6" cm="1" t="str">
        <f t="array" ref="R79">IF(C79="","",ROUND(Q79/1000000,3)&amp;" M€")</f>
        <v/>
      </c>
      <c r="S79" s="13">
</c>
      <c r="T79" s="6" cm="1" t="str">
        <f t="array" ref="T79">IF(C79="","",SUBSTITUTE(S79,"","")&amp;"%")</f>
        <v/>
      </c>
      <c r="U79" s="10"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c r="AK79" s="5">
</c>
    </row>
    <row r="80" ht="65.25" customHeight="1">
      <c r="A80" s="6">
</c>
      <c r="B80" s="6">
</c>
      <c r="C80" s="8">
</c>
      <c r="D80" s="9">
</c>
      <c r="E80" s="6">
</c>
      <c r="F80" s="6">
</c>
      <c r="G80" s="6" cm="1" t="str">
        <f t="array" ref="G80">IF(F80="","",SUBSTITUTE(SUBSTITUTE(SUBSTITUTE(SUBSTITUTE(F80,"&lt;li&gt;",CHAR(10)),"&lt;/li&gt;",""),"&lt;br&gt;",CHAR(10)),"&lt;strong&gt;",""))</f>
        <v/>
      </c>
      <c r="H80" s="6" cm="1" t="str">
        <f t="array" ref="H80">IF(G80="","",SUBSTITUTE(SUBSTITUTE(SUBSTITUTE(SUBSTITUTE(SUBSTITUTE(G80,"&lt;p&gt;",""),"&lt;/p&gt;",""),"&lt;ul&gt;",""),"&lt;/ul&gt;",""),"&lt;/strong&gt;",""))</f>
        <v/>
      </c>
      <c r="I80" s="10" cm="1" t="str">
        <f t="array" ref="I80">IF(C80="","",IF(OR(H80="",H80=0,H80=FALSE),"-",H80))</f>
        <v/>
      </c>
      <c r="J80" s="6">
</c>
      <c r="K80" s="6">
</c>
      <c r="L80" s="6" cm="1" t="str">
        <f t="array" ref="L80">IF(C80="","",IF(K80="Mort / Plus rien à faire","KO","OK"))</f>
        <v/>
      </c>
      <c r="M80" s="11">
</c>
      <c r="N80" s="11" cm="1" t="str">
        <f t="array" ref="N80">IF(OR(C80="",M80="",M80=0),"",M80)</f>
        <v/>
      </c>
      <c r="O80" s="11">
</c>
      <c r="P80" s="11" cm="1" t="str">
        <f t="array" ref="P80">IF(C80="","",IF(OR(O80="",O80=0),"-",O80))</f>
        <v/>
      </c>
      <c r="Q80" s="12">
</c>
      <c r="R80" s="6" cm="1" t="str">
        <f t="array" ref="R80">IF(C80="","",ROUND(Q80/1000000,3)&amp;" M€")</f>
        <v/>
      </c>
      <c r="S80" s="13">
</c>
      <c r="T80" s="6" cm="1" t="str">
        <f t="array" ref="T80">IF(C80="","",SUBSTITUTE(S80,"","")&amp;"%")</f>
        <v/>
      </c>
      <c r="U80" s="10"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c r="AK80" s="5">
</c>
    </row>
    <row r="81" ht="65.25" customHeight="1">
      <c r="A81" s="6">
</c>
      <c r="B81" s="6">
</c>
      <c r="C81" s="8">
</c>
      <c r="D81" s="9">
</c>
      <c r="E81" s="6">
</c>
      <c r="F81" s="6">
</c>
      <c r="G81" s="6" cm="1" t="str">
        <f t="array" ref="G81">IF(F81="","",SUBSTITUTE(SUBSTITUTE(SUBSTITUTE(SUBSTITUTE(F81,"&lt;li&gt;",CHAR(10)),"&lt;/li&gt;",""),"&lt;br&gt;",CHAR(10)),"&lt;strong&gt;",""))</f>
        <v/>
      </c>
      <c r="H81" s="6" cm="1" t="str">
        <f t="array" ref="H81">IF(G81="","",SUBSTITUTE(SUBSTITUTE(SUBSTITUTE(SUBSTITUTE(SUBSTITUTE(G81,"&lt;p&gt;",""),"&lt;/p&gt;",""),"&lt;ul&gt;",""),"&lt;/ul&gt;",""),"&lt;/strong&gt;",""))</f>
        <v/>
      </c>
      <c r="I81" s="10" cm="1" t="str">
        <f t="array" ref="I81">IF(C81="","",IF(OR(H81="",H81=0,H81=FALSE),"-",H81))</f>
        <v/>
      </c>
      <c r="J81" s="6">
</c>
      <c r="K81" s="6">
</c>
      <c r="L81" s="6" cm="1" t="str">
        <f t="array" ref="L81">IF(C81="","",IF(K81="Mort / Plus rien à faire","KO","OK"))</f>
        <v/>
      </c>
      <c r="M81" s="11">
</c>
      <c r="N81" s="11" cm="1" t="str">
        <f t="array" ref="N81">IF(OR(C81="",M81="",M81=0),"",M81)</f>
        <v/>
      </c>
      <c r="O81" s="11">
</c>
      <c r="P81" s="11" cm="1" t="str">
        <f t="array" ref="P81">IF(C81="","",IF(OR(O81="",O81=0),"-",O81))</f>
        <v/>
      </c>
      <c r="Q81" s="12">
</c>
      <c r="R81" s="6" cm="1" t="str">
        <f t="array" ref="R81">IF(C81="","",ROUND(Q81/1000000,3)&amp;" M€")</f>
        <v/>
      </c>
      <c r="S81" s="13">
</c>
      <c r="T81" s="6" cm="1" t="str">
        <f t="array" ref="T81">IF(C81="","",SUBSTITUTE(S81,"","")&amp;"%")</f>
        <v/>
      </c>
      <c r="U81" s="10"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c r="AK81" s="5">
</c>
    </row>
    <row r="82" ht="65.25" customHeight="1">
      <c r="A82" s="6">
</c>
      <c r="B82" s="6">
</c>
      <c r="C82" s="8">
</c>
      <c r="D82" s="9">
</c>
      <c r="E82" s="6">
</c>
      <c r="F82" s="6">
</c>
      <c r="G82" s="6" cm="1" t="str">
        <f t="array" ref="G82">IF(F82="","",SUBSTITUTE(SUBSTITUTE(SUBSTITUTE(SUBSTITUTE(F82,"&lt;li&gt;",CHAR(10)),"&lt;/li&gt;",""),"&lt;br&gt;",CHAR(10)),"&lt;strong&gt;",""))</f>
        <v/>
      </c>
      <c r="H82" s="6" cm="1" t="str">
        <f t="array" ref="H82">IF(G82="","",SUBSTITUTE(SUBSTITUTE(SUBSTITUTE(SUBSTITUTE(SUBSTITUTE(G82,"&lt;p&gt;",""),"&lt;/p&gt;",""),"&lt;ul&gt;",""),"&lt;/ul&gt;",""),"&lt;/strong&gt;",""))</f>
        <v/>
      </c>
      <c r="I82" s="10" cm="1" t="str">
        <f t="array" ref="I82">IF(C82="","",IF(OR(H82="",H82=0,H82=FALSE),"-",H82))</f>
        <v/>
      </c>
      <c r="J82" s="6">
</c>
      <c r="K82" s="6">
</c>
      <c r="L82" s="6" cm="1" t="str">
        <f t="array" ref="L82">IF(C82="","",IF(K82="Mort / Plus rien à faire","KO","OK"))</f>
        <v/>
      </c>
      <c r="M82" s="11">
</c>
      <c r="N82" s="11" cm="1" t="str">
        <f t="array" ref="N82">IF(OR(C82="",M82="",M82=0),"",M82)</f>
        <v/>
      </c>
      <c r="O82" s="11">
</c>
      <c r="P82" s="11" cm="1" t="str">
        <f t="array" ref="P82">IF(C82="","",IF(OR(O82="",O82=0),"-",O82))</f>
        <v/>
      </c>
      <c r="Q82" s="12">
</c>
      <c r="R82" s="6" cm="1" t="str">
        <f t="array" ref="R82">IF(C82="","",ROUND(Q82/1000000,3)&amp;" M€")</f>
        <v/>
      </c>
      <c r="S82" s="13">
</c>
      <c r="T82" s="6" cm="1" t="str">
        <f t="array" ref="T82">IF(C82="","",SUBSTITUTE(S82,"","")&amp;"%")</f>
        <v/>
      </c>
      <c r="U82" s="10"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c r="AK82" s="5">
</c>
    </row>
    <row r="83" ht="65.25" customHeight="1">
      <c r="A83" s="6">
</c>
      <c r="B83" s="6">
</c>
      <c r="C83" s="8">
</c>
      <c r="D83" s="9">
</c>
      <c r="E83" s="6">
</c>
      <c r="F83" s="6">
</c>
      <c r="G83" s="6" cm="1" t="str">
        <f t="array" ref="G83">IF(F83="","",SUBSTITUTE(SUBSTITUTE(SUBSTITUTE(SUBSTITUTE(F83,"&lt;li&gt;",CHAR(10)),"&lt;/li&gt;",""),"&lt;br&gt;",CHAR(10)),"&lt;strong&gt;",""))</f>
        <v/>
      </c>
      <c r="H83" s="6" cm="1" t="str">
        <f t="array" ref="H83">IF(G83="","",SUBSTITUTE(SUBSTITUTE(SUBSTITUTE(SUBSTITUTE(SUBSTITUTE(G83,"&lt;p&gt;",""),"&lt;/p&gt;",""),"&lt;ul&gt;",""),"&lt;/ul&gt;",""),"&lt;/strong&gt;",""))</f>
        <v/>
      </c>
      <c r="I83" s="10" cm="1" t="str">
        <f t="array" ref="I83">IF(C83="","",IF(OR(H83="",H83=0,H83=FALSE),"-",H83))</f>
        <v/>
      </c>
      <c r="J83" s="6">
</c>
      <c r="K83" s="6">
</c>
      <c r="L83" s="6" cm="1" t="str">
        <f t="array" ref="L83">IF(C83="","",IF(K83="Mort / Plus rien à faire","KO","OK"))</f>
        <v/>
      </c>
      <c r="M83" s="11">
</c>
      <c r="N83" s="11" cm="1" t="str">
        <f t="array" ref="N83">IF(OR(C83="",M83="",M83=0),"",M83)</f>
        <v/>
      </c>
      <c r="O83" s="11">
</c>
      <c r="P83" s="11" cm="1" t="str">
        <f t="array" ref="P83">IF(C83="","",IF(OR(O83="",O83=0),"-",O83))</f>
        <v/>
      </c>
      <c r="Q83" s="12">
</c>
      <c r="R83" s="6" cm="1" t="str">
        <f t="array" ref="R83">IF(C83="","",ROUND(Q83/1000000,3)&amp;" M€")</f>
        <v/>
      </c>
      <c r="S83" s="13">
</c>
      <c r="T83" s="6" cm="1" t="str">
        <f t="array" ref="T83">IF(C83="","",SUBSTITUTE(S83,"","")&amp;"%")</f>
        <v/>
      </c>
      <c r="U83" s="10"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c r="AK83" s="5">
</c>
    </row>
    <row r="84" ht="65.25" customHeight="1">
      <c r="A84" s="6">
</c>
      <c r="B84" s="6">
</c>
      <c r="C84" s="8">
</c>
      <c r="D84" s="9">
</c>
      <c r="E84" s="6">
</c>
      <c r="F84" s="6">
</c>
      <c r="G84" s="6" cm="1" t="str">
        <f t="array" ref="G84">IF(F84="","",SUBSTITUTE(SUBSTITUTE(SUBSTITUTE(SUBSTITUTE(F84,"&lt;li&gt;",CHAR(10)),"&lt;/li&gt;",""),"&lt;br&gt;",CHAR(10)),"&lt;strong&gt;",""))</f>
        <v/>
      </c>
      <c r="H84" s="6" cm="1" t="str">
        <f t="array" ref="H84">IF(G84="","",SUBSTITUTE(SUBSTITUTE(SUBSTITUTE(SUBSTITUTE(SUBSTITUTE(G84,"&lt;p&gt;",""),"&lt;/p&gt;",""),"&lt;ul&gt;",""),"&lt;/ul&gt;",""),"&lt;/strong&gt;",""))</f>
        <v/>
      </c>
      <c r="I84" s="10" cm="1" t="str">
        <f t="array" ref="I84">IF(C84="","",IF(OR(H84="",H84=0,H84=FALSE),"-",H84))</f>
        <v/>
      </c>
      <c r="J84" s="6">
</c>
      <c r="K84" s="6">
</c>
      <c r="L84" s="6" cm="1" t="str">
        <f t="array" ref="L84">IF(C84="","",IF(K84="Mort / Plus rien à faire","KO","OK"))</f>
        <v/>
      </c>
      <c r="M84" s="11">
</c>
      <c r="N84" s="11" cm="1" t="str">
        <f t="array" ref="N84">IF(OR(C84="",M84="",M84=0),"",M84)</f>
        <v/>
      </c>
      <c r="O84" s="11">
</c>
      <c r="P84" s="11" cm="1" t="str">
        <f t="array" ref="P84">IF(C84="","",IF(OR(O84="",O84=0),"-",O84))</f>
        <v/>
      </c>
      <c r="Q84" s="12">
</c>
      <c r="R84" s="6" cm="1" t="str">
        <f t="array" ref="R84">IF(C84="","",ROUND(Q84/1000000,3)&amp;" M€")</f>
        <v/>
      </c>
      <c r="S84" s="13">
</c>
      <c r="T84" s="6" cm="1" t="str">
        <f t="array" ref="T84">IF(C84="","",SUBSTITUTE(S84,"","")&amp;"%")</f>
        <v/>
      </c>
      <c r="U84" s="10"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c r="AK84" s="5">
</c>
    </row>
    <row r="85" ht="65.25" customHeight="1">
      <c r="A85" s="6">
</c>
      <c r="B85" s="6">
</c>
      <c r="C85" s="8">
</c>
      <c r="D85" s="9">
</c>
      <c r="E85" s="6">
</c>
      <c r="F85" s="6">
</c>
      <c r="G85" s="6" cm="1" t="str">
        <f t="array" ref="G85">IF(F85="","",SUBSTITUTE(SUBSTITUTE(SUBSTITUTE(SUBSTITUTE(F85,"&lt;li&gt;",CHAR(10)),"&lt;/li&gt;",""),"&lt;br&gt;",CHAR(10)),"&lt;strong&gt;",""))</f>
        <v/>
      </c>
      <c r="H85" s="6" cm="1" t="str">
        <f t="array" ref="H85">IF(G85="","",SUBSTITUTE(SUBSTITUTE(SUBSTITUTE(SUBSTITUTE(SUBSTITUTE(G85,"&lt;p&gt;",""),"&lt;/p&gt;",""),"&lt;ul&gt;",""),"&lt;/ul&gt;",""),"&lt;/strong&gt;",""))</f>
        <v/>
      </c>
      <c r="I85" s="10" cm="1" t="str">
        <f t="array" ref="I85">IF(C85="","",IF(OR(H85="",H85=0,H85=FALSE),"-",H85))</f>
        <v/>
      </c>
      <c r="J85" s="6">
</c>
      <c r="K85" s="6">
</c>
      <c r="L85" s="6" cm="1" t="str">
        <f t="array" ref="L85">IF(C85="","",IF(K85="Mort / Plus rien à faire","KO","OK"))</f>
        <v/>
      </c>
      <c r="M85" s="11">
</c>
      <c r="N85" s="11" cm="1" t="str">
        <f t="array" ref="N85">IF(OR(C85="",M85="",M85=0),"",M85)</f>
        <v/>
      </c>
      <c r="O85" s="11">
</c>
      <c r="P85" s="11" cm="1" t="str">
        <f t="array" ref="P85">IF(C85="","",IF(OR(O85="",O85=0),"-",O85))</f>
        <v/>
      </c>
      <c r="Q85" s="12">
</c>
      <c r="R85" s="6" cm="1" t="str">
        <f t="array" ref="R85">IF(C85="","",ROUND(Q85/1000000,3)&amp;" M€")</f>
        <v/>
      </c>
      <c r="S85" s="13">
</c>
      <c r="T85" s="6" cm="1" t="str">
        <f t="array" ref="T85">IF(C85="","",SUBSTITUTE(S85,"","")&amp;"%")</f>
        <v/>
      </c>
      <c r="U85" s="10"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c r="AK85" s="5">
</c>
    </row>
    <row r="86" ht="65.25" customHeight="1">
      <c r="A86" s="6">
</c>
      <c r="B86" s="6">
</c>
      <c r="C86" s="8">
</c>
      <c r="D86" s="9">
</c>
      <c r="E86" s="6">
</c>
      <c r="F86" s="6">
</c>
      <c r="G86" s="6" cm="1" t="str">
        <f t="array" ref="G86">IF(F86="","",SUBSTITUTE(SUBSTITUTE(SUBSTITUTE(SUBSTITUTE(F86,"&lt;li&gt;",CHAR(10)),"&lt;/li&gt;",""),"&lt;br&gt;",CHAR(10)),"&lt;strong&gt;",""))</f>
        <v/>
      </c>
      <c r="H86" s="6" cm="1" t="str">
        <f t="array" ref="H86">IF(G86="","",SUBSTITUTE(SUBSTITUTE(SUBSTITUTE(SUBSTITUTE(SUBSTITUTE(G86,"&lt;p&gt;",""),"&lt;/p&gt;",""),"&lt;ul&gt;",""),"&lt;/ul&gt;",""),"&lt;/strong&gt;",""))</f>
        <v/>
      </c>
      <c r="I86" s="10" cm="1" t="str">
        <f t="array" ref="I86">IF(C86="","",IF(OR(H86="",H86=0,H86=FALSE),"-",H86))</f>
        <v/>
      </c>
      <c r="J86" s="6">
</c>
      <c r="K86" s="6">
</c>
      <c r="L86" s="6" cm="1" t="str">
        <f t="array" ref="L86">IF(C86="","",IF(K86="Mort / Plus rien à faire","KO","OK"))</f>
        <v/>
      </c>
      <c r="M86" s="11">
</c>
      <c r="N86" s="11" cm="1" t="str">
        <f t="array" ref="N86">IF(OR(C86="",M86="",M86=0),"",M86)</f>
        <v/>
      </c>
      <c r="O86" s="11">
</c>
      <c r="P86" s="11" cm="1" t="str">
        <f t="array" ref="P86">IF(C86="","",IF(OR(O86="",O86=0),"-",O86))</f>
        <v/>
      </c>
      <c r="Q86" s="12">
</c>
      <c r="R86" s="6" cm="1" t="str">
        <f t="array" ref="R86">IF(C86="","",ROUND(Q86/1000000,3)&amp;" M€")</f>
        <v/>
      </c>
      <c r="S86" s="13">
</c>
      <c r="T86" s="6" cm="1" t="str">
        <f t="array" ref="T86">IF(C86="","",SUBSTITUTE(S86,"","")&amp;"%")</f>
        <v/>
      </c>
      <c r="U86" s="10"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c r="AK86" s="5">
</c>
    </row>
    <row r="87" ht="65.25" customHeight="1">
      <c r="A87" s="6">
</c>
      <c r="B87" s="6">
</c>
      <c r="C87" s="8">
</c>
      <c r="D87" s="9">
</c>
      <c r="E87" s="6">
</c>
      <c r="F87" s="6">
</c>
      <c r="G87" s="6" cm="1" t="str">
        <f t="array" ref="G87">IF(F87="","",SUBSTITUTE(SUBSTITUTE(SUBSTITUTE(SUBSTITUTE(F87,"&lt;li&gt;",CHAR(10)),"&lt;/li&gt;",""),"&lt;br&gt;",CHAR(10)),"&lt;strong&gt;",""))</f>
        <v/>
      </c>
      <c r="H87" s="6" cm="1" t="str">
        <f t="array" ref="H87">IF(G87="","",SUBSTITUTE(SUBSTITUTE(SUBSTITUTE(SUBSTITUTE(SUBSTITUTE(G87,"&lt;p&gt;",""),"&lt;/p&gt;",""),"&lt;ul&gt;",""),"&lt;/ul&gt;",""),"&lt;/strong&gt;",""))</f>
        <v/>
      </c>
      <c r="I87" s="10" cm="1" t="str">
        <f t="array" ref="I87">IF(C87="","",IF(OR(H87="",H87=0,H87=FALSE),"-",H87))</f>
        <v/>
      </c>
      <c r="J87" s="6">
</c>
      <c r="K87" s="6">
</c>
      <c r="L87" s="6" cm="1" t="str">
        <f t="array" ref="L87">IF(C87="","",IF(K87="Mort / Plus rien à faire","KO","OK"))</f>
        <v/>
      </c>
      <c r="M87" s="11">
</c>
      <c r="N87" s="11" cm="1" t="str">
        <f t="array" ref="N87">IF(OR(C87="",M87="",M87=0),"",M87)</f>
        <v/>
      </c>
      <c r="O87" s="11">
</c>
      <c r="P87" s="11" cm="1" t="str">
        <f t="array" ref="P87">IF(C87="","",IF(OR(O87="",O87=0),"-",O87))</f>
        <v/>
      </c>
      <c r="Q87" s="12">
</c>
      <c r="R87" s="6" cm="1" t="str">
        <f t="array" ref="R87">IF(C87="","",ROUND(Q87/1000000,3)&amp;" M€")</f>
        <v/>
      </c>
      <c r="S87" s="13">
</c>
      <c r="T87" s="6" cm="1" t="str">
        <f t="array" ref="T87">IF(C87="","",SUBSTITUTE(S87,"","")&amp;"%")</f>
        <v/>
      </c>
      <c r="U87" s="10"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c r="AK87" s="5">
</c>
    </row>
    <row r="88" ht="65.25" customHeight="1">
      <c r="A88" s="6">
</c>
      <c r="B88" s="6">
</c>
      <c r="C88" s="8">
</c>
      <c r="D88" s="9">
</c>
      <c r="E88" s="6">
</c>
      <c r="F88" s="6">
</c>
      <c r="G88" s="6" cm="1" t="str">
        <f t="array" ref="G88">IF(F88="","",SUBSTITUTE(SUBSTITUTE(SUBSTITUTE(SUBSTITUTE(F88,"&lt;li&gt;",CHAR(10)),"&lt;/li&gt;",""),"&lt;br&gt;",CHAR(10)),"&lt;strong&gt;",""))</f>
        <v/>
      </c>
      <c r="H88" s="6" cm="1" t="str">
        <f t="array" ref="H88">IF(G88="","",SUBSTITUTE(SUBSTITUTE(SUBSTITUTE(SUBSTITUTE(SUBSTITUTE(G88,"&lt;p&gt;",""),"&lt;/p&gt;",""),"&lt;ul&gt;",""),"&lt;/ul&gt;",""),"&lt;/strong&gt;",""))</f>
        <v/>
      </c>
      <c r="I88" s="10" cm="1" t="str">
        <f t="array" ref="I88">IF(C88="","",IF(OR(H88="",H88=0,H88=FALSE),"-",H88))</f>
        <v/>
      </c>
      <c r="J88" s="6">
</c>
      <c r="K88" s="6">
</c>
      <c r="L88" s="6" cm="1" t="str">
        <f t="array" ref="L88">IF(C88="","",IF(K88="Mort / Plus rien à faire","KO","OK"))</f>
        <v/>
      </c>
      <c r="M88" s="11">
</c>
      <c r="N88" s="11" cm="1" t="str">
        <f t="array" ref="N88">IF(OR(C88="",M88="",M88=0),"",M88)</f>
        <v/>
      </c>
      <c r="O88" s="11">
</c>
      <c r="P88" s="11" cm="1" t="str">
        <f t="array" ref="P88">IF(C88="","",IF(OR(O88="",O88=0),"-",O88))</f>
        <v/>
      </c>
      <c r="Q88" s="12">
</c>
      <c r="R88" s="6" cm="1" t="str">
        <f t="array" ref="R88">IF(C88="","",ROUND(Q88/1000000,3)&amp;" M€")</f>
        <v/>
      </c>
      <c r="S88" s="13">
</c>
      <c r="T88" s="6" cm="1" t="str">
        <f t="array" ref="T88">IF(C88="","",SUBSTITUTE(S88,"","")&amp;"%")</f>
        <v/>
      </c>
      <c r="U88" s="10"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c r="AK88" s="5">
</c>
    </row>
    <row r="89" ht="65.25" customHeight="1">
      <c r="A89" s="6">
</c>
      <c r="B89" s="6">
</c>
      <c r="C89" s="8">
</c>
      <c r="D89" s="9">
</c>
      <c r="E89" s="6">
</c>
      <c r="F89" s="6">
</c>
      <c r="G89" s="6" cm="1" t="str">
        <f t="array" ref="G89">IF(F89="","",SUBSTITUTE(SUBSTITUTE(SUBSTITUTE(SUBSTITUTE(F89,"&lt;li&gt;",CHAR(10)),"&lt;/li&gt;",""),"&lt;br&gt;",CHAR(10)),"&lt;strong&gt;",""))</f>
        <v/>
      </c>
      <c r="H89" s="6" cm="1" t="str">
        <f t="array" ref="H89">IF(G89="","",SUBSTITUTE(SUBSTITUTE(SUBSTITUTE(SUBSTITUTE(SUBSTITUTE(G89,"&lt;p&gt;",""),"&lt;/p&gt;",""),"&lt;ul&gt;",""),"&lt;/ul&gt;",""),"&lt;/strong&gt;",""))</f>
        <v/>
      </c>
      <c r="I89" s="10" cm="1" t="str">
        <f t="array" ref="I89">IF(C89="","",IF(OR(H89="",H89=0,H89=FALSE),"-",H89))</f>
        <v/>
      </c>
      <c r="J89" s="6">
</c>
      <c r="K89" s="6">
</c>
      <c r="L89" s="6" cm="1" t="str">
        <f t="array" ref="L89">IF(C89="","",IF(K89="Mort / Plus rien à faire","KO","OK"))</f>
        <v/>
      </c>
      <c r="M89" s="11">
</c>
      <c r="N89" s="11" cm="1" t="str">
        <f t="array" ref="N89">IF(OR(C89="",M89="",M89=0),"",M89)</f>
        <v/>
      </c>
      <c r="O89" s="11">
</c>
      <c r="P89" s="11" cm="1" t="str">
        <f t="array" ref="P89">IF(C89="","",IF(OR(O89="",O89=0),"-",O89))</f>
        <v/>
      </c>
      <c r="Q89" s="12">
</c>
      <c r="R89" s="6" cm="1" t="str">
        <f t="array" ref="R89">IF(C89="","",ROUND(Q89/1000000,3)&amp;" M€")</f>
        <v/>
      </c>
      <c r="S89" s="13">
</c>
      <c r="T89" s="6" cm="1" t="str">
        <f t="array" ref="T89">IF(C89="","",SUBSTITUTE(S89,"","")&amp;"%")</f>
        <v/>
      </c>
      <c r="U89" s="10"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c r="AK89" s="5">
</c>
    </row>
    <row r="90" ht="65.25" customHeight="1">
      <c r="A90" s="6">
</c>
      <c r="B90" s="6">
</c>
      <c r="C90" s="8">
</c>
      <c r="D90" s="9">
</c>
      <c r="E90" s="6">
</c>
      <c r="F90" s="6">
</c>
      <c r="G90" s="6" cm="1" t="str">
        <f t="array" ref="G90">IF(F90="","",SUBSTITUTE(SUBSTITUTE(SUBSTITUTE(SUBSTITUTE(F90,"&lt;li&gt;",CHAR(10)),"&lt;/li&gt;",""),"&lt;br&gt;",CHAR(10)),"&lt;strong&gt;",""))</f>
        <v/>
      </c>
      <c r="H90" s="6" cm="1" t="str">
        <f t="array" ref="H90">IF(G90="","",SUBSTITUTE(SUBSTITUTE(SUBSTITUTE(SUBSTITUTE(SUBSTITUTE(G90,"&lt;p&gt;",""),"&lt;/p&gt;",""),"&lt;ul&gt;",""),"&lt;/ul&gt;",""),"&lt;/strong&gt;",""))</f>
        <v/>
      </c>
      <c r="I90" s="10" cm="1" t="str">
        <f t="array" ref="I90">IF(C90="","",IF(OR(H90="",H90=0,H90=FALSE),"-",H90))</f>
        <v/>
      </c>
      <c r="J90" s="6">
</c>
      <c r="K90" s="6">
</c>
      <c r="L90" s="6" cm="1" t="str">
        <f t="array" ref="L90">IF(C90="","",IF(K90="Mort / Plus rien à faire","KO","OK"))</f>
        <v/>
      </c>
      <c r="M90" s="11">
</c>
      <c r="N90" s="11" cm="1" t="str">
        <f t="array" ref="N90">IF(OR(C90="",M90="",M90=0),"",M90)</f>
        <v/>
      </c>
      <c r="O90" s="11">
</c>
      <c r="P90" s="11" cm="1" t="str">
        <f t="array" ref="P90">IF(C90="","",IF(OR(O90="",O90=0),"-",O90))</f>
        <v/>
      </c>
      <c r="Q90" s="12">
</c>
      <c r="R90" s="6" cm="1" t="str">
        <f t="array" ref="R90">IF(C90="","",ROUND(Q90/1000000,3)&amp;" M€")</f>
        <v/>
      </c>
      <c r="S90" s="13">
</c>
      <c r="T90" s="6" cm="1" t="str">
        <f t="array" ref="T90">IF(C90="","",SUBSTITUTE(S90,"","")&amp;"%")</f>
        <v/>
      </c>
      <c r="U90" s="10"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c r="AK90" s="5">
</c>
    </row>
    <row r="91" ht="65.25" customHeight="1">
      <c r="A91" s="6">
</c>
      <c r="B91" s="6">
</c>
      <c r="C91" s="8">
</c>
      <c r="D91" s="9">
</c>
      <c r="E91" s="6">
</c>
      <c r="F91" s="6">
</c>
      <c r="G91" s="6" cm="1" t="str">
        <f t="array" ref="G91">IF(F91="","",SUBSTITUTE(SUBSTITUTE(SUBSTITUTE(SUBSTITUTE(F91,"&lt;li&gt;",CHAR(10)),"&lt;/li&gt;",""),"&lt;br&gt;",CHAR(10)),"&lt;strong&gt;",""))</f>
        <v/>
      </c>
      <c r="H91" s="6" cm="1" t="str">
        <f t="array" ref="H91">IF(G91="","",SUBSTITUTE(SUBSTITUTE(SUBSTITUTE(SUBSTITUTE(SUBSTITUTE(G91,"&lt;p&gt;",""),"&lt;/p&gt;",""),"&lt;ul&gt;",""),"&lt;/ul&gt;",""),"&lt;/strong&gt;",""))</f>
        <v/>
      </c>
      <c r="I91" s="10" cm="1" t="str">
        <f t="array" ref="I91">IF(C91="","",IF(OR(H91="",H91=0,H91=FALSE),"-",H91))</f>
        <v/>
      </c>
      <c r="J91" s="6">
</c>
      <c r="K91" s="6">
</c>
      <c r="L91" s="6" cm="1" t="str">
        <f t="array" ref="L91">IF(C91="","",IF(K91="Mort / Plus rien à faire","KO","OK"))</f>
        <v/>
      </c>
      <c r="M91" s="11">
</c>
      <c r="N91" s="11" cm="1" t="str">
        <f t="array" ref="N91">IF(OR(C91="",M91="",M91=0),"",M91)</f>
        <v/>
      </c>
      <c r="O91" s="11">
</c>
      <c r="P91" s="11" cm="1" t="str">
        <f t="array" ref="P91">IF(C91="","",IF(OR(O91="",O91=0),"-",O91))</f>
        <v/>
      </c>
      <c r="Q91" s="12">
</c>
      <c r="R91" s="6" cm="1" t="str">
        <f t="array" ref="R91">IF(C91="","",ROUND(Q91/1000000,3)&amp;" M€")</f>
        <v/>
      </c>
      <c r="S91" s="13">
</c>
      <c r="T91" s="6" cm="1" t="str">
        <f t="array" ref="T91">IF(C91="","",SUBSTITUTE(S91,"","")&amp;"%")</f>
        <v/>
      </c>
      <c r="U91" s="10"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c r="AK91" s="5">
</c>
    </row>
    <row r="92" ht="65.25" customHeight="1">
      <c r="A92" s="6">
</c>
      <c r="B92" s="6">
</c>
      <c r="C92" s="8">
</c>
      <c r="D92" s="9">
</c>
      <c r="E92" s="6">
</c>
      <c r="F92" s="6">
</c>
      <c r="G92" s="6" cm="1" t="str">
        <f t="array" ref="G92">IF(F92="","",SUBSTITUTE(SUBSTITUTE(SUBSTITUTE(SUBSTITUTE(F92,"&lt;li&gt;",CHAR(10)),"&lt;/li&gt;",""),"&lt;br&gt;",CHAR(10)),"&lt;strong&gt;",""))</f>
        <v/>
      </c>
      <c r="H92" s="6" cm="1" t="str">
        <f t="array" ref="H92">IF(G92="","",SUBSTITUTE(SUBSTITUTE(SUBSTITUTE(SUBSTITUTE(SUBSTITUTE(G92,"&lt;p&gt;",""),"&lt;/p&gt;",""),"&lt;ul&gt;",""),"&lt;/ul&gt;",""),"&lt;/strong&gt;",""))</f>
        <v/>
      </c>
      <c r="I92" s="10" cm="1" t="str">
        <f t="array" ref="I92">IF(C92="","",IF(OR(H92="",H92=0,H92=FALSE),"-",H92))</f>
        <v/>
      </c>
      <c r="J92" s="6">
</c>
      <c r="K92" s="6">
</c>
      <c r="L92" s="6" cm="1" t="str">
        <f t="array" ref="L92">IF(C92="","",IF(K92="Mort / Plus rien à faire","KO","OK"))</f>
        <v/>
      </c>
      <c r="M92" s="11">
</c>
      <c r="N92" s="11" cm="1" t="str">
        <f t="array" ref="N92">IF(OR(C92="",M92="",M92=0),"",M92)</f>
        <v/>
      </c>
      <c r="O92" s="11">
</c>
      <c r="P92" s="11" cm="1" t="str">
        <f t="array" ref="P92">IF(C92="","",IF(OR(O92="",O92=0),"-",O92))</f>
        <v/>
      </c>
      <c r="Q92" s="12">
</c>
      <c r="R92" s="6" cm="1" t="str">
        <f t="array" ref="R92">IF(C92="","",ROUND(Q92/1000000,3)&amp;" M€")</f>
        <v/>
      </c>
      <c r="S92" s="13">
</c>
      <c r="T92" s="6" cm="1" t="str">
        <f t="array" ref="T92">IF(C92="","",SUBSTITUTE(S92,"","")&amp;"%")</f>
        <v/>
      </c>
      <c r="U92" s="10"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c r="AK92" s="5">
</c>
    </row>
    <row r="93" ht="65.25" customHeight="1">
      <c r="A93" s="6">
</c>
      <c r="B93" s="6">
</c>
      <c r="C93" s="8">
</c>
      <c r="D93" s="9">
</c>
      <c r="E93" s="6">
</c>
      <c r="F93" s="6">
</c>
      <c r="G93" s="6" cm="1" t="str">
        <f t="array" ref="G93">IF(F93="","",SUBSTITUTE(SUBSTITUTE(SUBSTITUTE(SUBSTITUTE(F93,"&lt;li&gt;",CHAR(10)),"&lt;/li&gt;",""),"&lt;br&gt;",CHAR(10)),"&lt;strong&gt;",""))</f>
        <v/>
      </c>
      <c r="H93" s="6" cm="1" t="str">
        <f t="array" ref="H93">IF(G93="","",SUBSTITUTE(SUBSTITUTE(SUBSTITUTE(SUBSTITUTE(SUBSTITUTE(G93,"&lt;p&gt;",""),"&lt;/p&gt;",""),"&lt;ul&gt;",""),"&lt;/ul&gt;",""),"&lt;/strong&gt;",""))</f>
        <v/>
      </c>
      <c r="I93" s="10" cm="1" t="str">
        <f t="array" ref="I93">IF(C93="","",IF(OR(H93="",H93=0,H93=FALSE),"-",H93))</f>
        <v/>
      </c>
      <c r="J93" s="6">
</c>
      <c r="K93" s="6">
</c>
      <c r="L93" s="6" cm="1" t="str">
        <f t="array" ref="L93">IF(C93="","",IF(K93="Mort / Plus rien à faire","KO","OK"))</f>
        <v/>
      </c>
      <c r="M93" s="11">
</c>
      <c r="N93" s="11" cm="1" t="str">
        <f t="array" ref="N93">IF(OR(C93="",M93="",M93=0),"",M93)</f>
        <v/>
      </c>
      <c r="O93" s="11">
</c>
      <c r="P93" s="11" cm="1" t="str">
        <f t="array" ref="P93">IF(C93="","",IF(OR(O93="",O93=0),"-",O93))</f>
        <v/>
      </c>
      <c r="Q93" s="12">
</c>
      <c r="R93" s="6" cm="1" t="str">
        <f t="array" ref="R93">IF(C93="","",ROUND(Q93/1000000,3)&amp;" M€")</f>
        <v/>
      </c>
      <c r="S93" s="13">
</c>
      <c r="T93" s="6" cm="1" t="str">
        <f t="array" ref="T93">IF(C93="","",SUBSTITUTE(S93,"","")&amp;"%")</f>
        <v/>
      </c>
      <c r="U93" s="10"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c r="AK93" s="5">
</c>
    </row>
    <row r="94" ht="65.25" customHeight="1">
      <c r="A94" s="6">
</c>
      <c r="B94" s="6">
</c>
      <c r="C94" s="8">
</c>
      <c r="D94" s="9">
</c>
      <c r="E94" s="6">
</c>
      <c r="F94" s="6">
</c>
      <c r="G94" s="6" cm="1" t="str">
        <f t="array" ref="G94">IF(F94="","",SUBSTITUTE(SUBSTITUTE(SUBSTITUTE(SUBSTITUTE(F94,"&lt;li&gt;",CHAR(10)),"&lt;/li&gt;",""),"&lt;br&gt;",CHAR(10)),"&lt;strong&gt;",""))</f>
        <v/>
      </c>
      <c r="H94" s="6" cm="1" t="str">
        <f t="array" ref="H94">IF(G94="","",SUBSTITUTE(SUBSTITUTE(SUBSTITUTE(SUBSTITUTE(SUBSTITUTE(G94,"&lt;p&gt;",""),"&lt;/p&gt;",""),"&lt;ul&gt;",""),"&lt;/ul&gt;",""),"&lt;/strong&gt;",""))</f>
        <v/>
      </c>
      <c r="I94" s="10" cm="1" t="str">
        <f t="array" ref="I94">IF(C94="","",IF(OR(H94="",H94=0,H94=FALSE),"-",H94))</f>
        <v/>
      </c>
      <c r="J94" s="6">
</c>
      <c r="K94" s="6">
</c>
      <c r="L94" s="6" cm="1" t="str">
        <f t="array" ref="L94">IF(C94="","",IF(K94="Mort / Plus rien à faire","KO","OK"))</f>
        <v/>
      </c>
      <c r="M94" s="11">
</c>
      <c r="N94" s="11" cm="1" t="str">
        <f t="array" ref="N94">IF(OR(C94="",M94="",M94=0),"",M94)</f>
        <v/>
      </c>
      <c r="O94" s="11">
</c>
      <c r="P94" s="11" cm="1" t="str">
        <f t="array" ref="P94">IF(C94="","",IF(OR(O94="",O94=0),"-",O94))</f>
        <v/>
      </c>
      <c r="Q94" s="12">
</c>
      <c r="R94" s="6" cm="1" t="str">
        <f t="array" ref="R94">IF(C94="","",ROUND(Q94/1000000,3)&amp;" M€")</f>
        <v/>
      </c>
      <c r="S94" s="13">
</c>
      <c r="T94" s="6" cm="1" t="str">
        <f t="array" ref="T94">IF(C94="","",SUBSTITUTE(S94,"","")&amp;"%")</f>
        <v/>
      </c>
      <c r="U94" s="10"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c r="AK94" s="5">
</c>
    </row>
    <row r="95" ht="65.25" customHeight="1">
      <c r="A95" s="6">
</c>
      <c r="B95" s="6">
</c>
      <c r="C95" s="8">
</c>
      <c r="D95" s="9">
</c>
      <c r="E95" s="6">
</c>
      <c r="F95" s="6">
</c>
      <c r="G95" s="6" cm="1" t="str">
        <f t="array" ref="G95">IF(F95="","",SUBSTITUTE(SUBSTITUTE(SUBSTITUTE(SUBSTITUTE(F95,"&lt;li&gt;",CHAR(10)),"&lt;/li&gt;",""),"&lt;br&gt;",CHAR(10)),"&lt;strong&gt;",""))</f>
        <v/>
      </c>
      <c r="H95" s="6" cm="1" t="str">
        <f t="array" ref="H95">IF(G95="","",SUBSTITUTE(SUBSTITUTE(SUBSTITUTE(SUBSTITUTE(SUBSTITUTE(G95,"&lt;p&gt;",""),"&lt;/p&gt;",""),"&lt;ul&gt;",""),"&lt;/ul&gt;",""),"&lt;/strong&gt;",""))</f>
        <v/>
      </c>
      <c r="I95" s="10" cm="1" t="str">
        <f t="array" ref="I95">IF(C95="","",IF(OR(H95="",H95=0,H95=FALSE),"-",H95))</f>
        <v/>
      </c>
      <c r="J95" s="6">
</c>
      <c r="K95" s="6">
</c>
      <c r="L95" s="6" cm="1" t="str">
        <f t="array" ref="L95">IF(C95="","",IF(K95="Mort / Plus rien à faire","KO","OK"))</f>
        <v/>
      </c>
      <c r="M95" s="11">
</c>
      <c r="N95" s="11" cm="1" t="str">
        <f t="array" ref="N95">IF(OR(C95="",M95="",M95=0),"",M95)</f>
        <v/>
      </c>
      <c r="O95" s="11">
</c>
      <c r="P95" s="11" cm="1" t="str">
        <f t="array" ref="P95">IF(C95="","",IF(OR(O95="",O95=0),"-",O95))</f>
        <v/>
      </c>
      <c r="Q95" s="12">
</c>
      <c r="R95" s="6" cm="1" t="str">
        <f t="array" ref="R95">IF(C95="","",ROUND(Q95/1000000,3)&amp;" M€")</f>
        <v/>
      </c>
      <c r="S95" s="13">
</c>
      <c r="T95" s="6" cm="1" t="str">
        <f t="array" ref="T95">IF(C95="","",SUBSTITUTE(S95,"","")&amp;"%")</f>
        <v/>
      </c>
      <c r="U95" s="10"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c r="AK95" s="5">
</c>
    </row>
    <row r="96" ht="65.25" customHeight="1">
      <c r="A96" s="6">
</c>
      <c r="B96" s="6">
</c>
      <c r="C96" s="8">
</c>
      <c r="D96" s="9">
</c>
      <c r="E96" s="6">
</c>
      <c r="F96" s="6">
</c>
      <c r="G96" s="6" cm="1" t="str">
        <f t="array" ref="G96">IF(F96="","",SUBSTITUTE(SUBSTITUTE(SUBSTITUTE(SUBSTITUTE(F96,"&lt;li&gt;",CHAR(10)),"&lt;/li&gt;",""),"&lt;br&gt;",CHAR(10)),"&lt;strong&gt;",""))</f>
        <v/>
      </c>
      <c r="H96" s="6" cm="1" t="str">
        <f t="array" ref="H96">IF(G96="","",SUBSTITUTE(SUBSTITUTE(SUBSTITUTE(SUBSTITUTE(SUBSTITUTE(G96,"&lt;p&gt;",""),"&lt;/p&gt;",""),"&lt;ul&gt;",""),"&lt;/ul&gt;",""),"&lt;/strong&gt;",""))</f>
        <v/>
      </c>
      <c r="I96" s="10" cm="1" t="str">
        <f t="array" ref="I96">IF(C96="","",IF(OR(H96="",H96=0,H96=FALSE),"-",H96))</f>
        <v/>
      </c>
      <c r="J96" s="6">
</c>
      <c r="K96" s="6">
</c>
      <c r="L96" s="6" cm="1" t="str">
        <f t="array" ref="L96">IF(C96="","",IF(K96="Mort / Plus rien à faire","KO","OK"))</f>
        <v/>
      </c>
      <c r="M96" s="11">
</c>
      <c r="N96" s="11" cm="1" t="str">
        <f t="array" ref="N96">IF(OR(C96="",M96="",M96=0),"",M96)</f>
        <v/>
      </c>
      <c r="O96" s="11">
</c>
      <c r="P96" s="11" cm="1" t="str">
        <f t="array" ref="P96">IF(C96="","",IF(OR(O96="",O96=0),"-",O96))</f>
        <v/>
      </c>
      <c r="Q96" s="12">
</c>
      <c r="R96" s="6" cm="1" t="str">
        <f t="array" ref="R96">IF(C96="","",ROUND(Q96/1000000,3)&amp;" M€")</f>
        <v/>
      </c>
      <c r="S96" s="13">
</c>
      <c r="T96" s="6" cm="1" t="str">
        <f t="array" ref="T96">IF(C96="","",SUBSTITUTE(S96,"","")&amp;"%")</f>
        <v/>
      </c>
      <c r="U96" s="10"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c r="AK96" s="5">
</c>
    </row>
    <row r="97" ht="65.25" customHeight="1">
      <c r="A97" s="6">
</c>
      <c r="B97" s="6">
</c>
      <c r="C97" s="8">
</c>
      <c r="D97" s="9">
</c>
      <c r="E97" s="6">
</c>
      <c r="F97" s="6">
</c>
      <c r="G97" s="6" cm="1" t="str">
        <f t="array" ref="G97">IF(F97="","",SUBSTITUTE(SUBSTITUTE(SUBSTITUTE(SUBSTITUTE(F97,"&lt;li&gt;",CHAR(10)),"&lt;/li&gt;",""),"&lt;br&gt;",CHAR(10)),"&lt;strong&gt;",""))</f>
        <v/>
      </c>
      <c r="H97" s="6" cm="1" t="str">
        <f t="array" ref="H97">IF(G97="","",SUBSTITUTE(SUBSTITUTE(SUBSTITUTE(SUBSTITUTE(SUBSTITUTE(G97,"&lt;p&gt;",""),"&lt;/p&gt;",""),"&lt;ul&gt;",""),"&lt;/ul&gt;",""),"&lt;/strong&gt;",""))</f>
        <v/>
      </c>
      <c r="I97" s="10" cm="1" t="str">
        <f t="array" ref="I97">IF(C97="","",IF(OR(H97="",H97=0,H97=FALSE),"-",H97))</f>
        <v/>
      </c>
      <c r="J97" s="6">
</c>
      <c r="K97" s="6">
</c>
      <c r="L97" s="6" cm="1" t="str">
        <f t="array" ref="L97">IF(C97="","",IF(K97="Mort / Plus rien à faire","KO","OK"))</f>
        <v/>
      </c>
      <c r="M97" s="11">
</c>
      <c r="N97" s="11" cm="1" t="str">
        <f t="array" ref="N97">IF(OR(C97="",M97="",M97=0),"",M97)</f>
        <v/>
      </c>
      <c r="O97" s="11">
</c>
      <c r="P97" s="11" cm="1" t="str">
        <f t="array" ref="P97">IF(C97="","",IF(OR(O97="",O97=0),"-",O97))</f>
        <v/>
      </c>
      <c r="Q97" s="12">
</c>
      <c r="R97" s="6" cm="1" t="str">
        <f t="array" ref="R97">IF(C97="","",ROUND(Q97/1000000,3)&amp;" M€")</f>
        <v/>
      </c>
      <c r="S97" s="13">
</c>
      <c r="T97" s="6" cm="1" t="str">
        <f t="array" ref="T97">IF(C97="","",SUBSTITUTE(S97,"","")&amp;"%")</f>
        <v/>
      </c>
      <c r="U97" s="10"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c r="AK97" s="5">
</c>
    </row>
    <row r="98" ht="65.25" customHeight="1">
      <c r="A98" s="6">
</c>
      <c r="B98" s="6">
</c>
      <c r="C98" s="8">
</c>
      <c r="D98" s="9">
</c>
      <c r="E98" s="6">
</c>
      <c r="F98" s="6">
</c>
      <c r="G98" s="6" cm="1" t="str">
        <f t="array" ref="G98">IF(F98="","",SUBSTITUTE(SUBSTITUTE(SUBSTITUTE(SUBSTITUTE(F98,"&lt;li&gt;",CHAR(10)),"&lt;/li&gt;",""),"&lt;br&gt;",CHAR(10)),"&lt;strong&gt;",""))</f>
        <v/>
      </c>
      <c r="H98" s="6" cm="1" t="str">
        <f t="array" ref="H98">IF(G98="","",SUBSTITUTE(SUBSTITUTE(SUBSTITUTE(SUBSTITUTE(SUBSTITUTE(G98,"&lt;p&gt;",""),"&lt;/p&gt;",""),"&lt;ul&gt;",""),"&lt;/ul&gt;",""),"&lt;/strong&gt;",""))</f>
        <v/>
      </c>
      <c r="I98" s="10" cm="1" t="str">
        <f t="array" ref="I98">IF(C98="","",IF(OR(H98="",H98=0,H98=FALSE),"-",H98))</f>
        <v/>
      </c>
      <c r="J98" s="6">
</c>
      <c r="K98" s="6">
</c>
      <c r="L98" s="6" cm="1" t="str">
        <f t="array" ref="L98">IF(C98="","",IF(K98="Mort / Plus rien à faire","KO","OK"))</f>
        <v/>
      </c>
      <c r="M98" s="11">
</c>
      <c r="N98" s="11" cm="1" t="str">
        <f t="array" ref="N98">IF(OR(C98="",M98="",M98=0),"",M98)</f>
        <v/>
      </c>
      <c r="O98" s="11">
</c>
      <c r="P98" s="11" cm="1" t="str">
        <f t="array" ref="P98">IF(C98="","",IF(OR(O98="",O98=0),"-",O98))</f>
        <v/>
      </c>
      <c r="Q98" s="12">
</c>
      <c r="R98" s="6" cm="1" t="str">
        <f t="array" ref="R98">IF(C98="","",ROUND(Q98/1000000,3)&amp;" M€")</f>
        <v/>
      </c>
      <c r="S98" s="13">
</c>
      <c r="T98" s="6" cm="1" t="str">
        <f t="array" ref="T98">IF(C98="","",SUBSTITUTE(S98,"","")&amp;"%")</f>
        <v/>
      </c>
      <c r="U98" s="10"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c r="AK98" s="5">
</c>
    </row>
    <row r="99" ht="65.25" customHeight="1">
      <c r="A99" s="6">
</c>
      <c r="B99" s="6">
</c>
      <c r="C99" s="8">
</c>
      <c r="D99" s="9">
</c>
      <c r="E99" s="6">
</c>
      <c r="F99" s="6">
</c>
      <c r="G99" s="6" cm="1" t="str">
        <f t="array" ref="G99">IF(F99="","",SUBSTITUTE(SUBSTITUTE(SUBSTITUTE(SUBSTITUTE(F99,"&lt;li&gt;",CHAR(10)),"&lt;/li&gt;",""),"&lt;br&gt;",CHAR(10)),"&lt;strong&gt;",""))</f>
        <v/>
      </c>
      <c r="H99" s="6" cm="1" t="str">
        <f t="array" ref="H99">IF(G99="","",SUBSTITUTE(SUBSTITUTE(SUBSTITUTE(SUBSTITUTE(SUBSTITUTE(G99,"&lt;p&gt;",""),"&lt;/p&gt;",""),"&lt;ul&gt;",""),"&lt;/ul&gt;",""),"&lt;/strong&gt;",""))</f>
        <v/>
      </c>
      <c r="I99" s="10" cm="1" t="str">
        <f t="array" ref="I99">IF(C99="","",IF(OR(H99="",H99=0,H99=FALSE),"-",H99))</f>
        <v/>
      </c>
      <c r="J99" s="6">
</c>
      <c r="K99" s="6">
</c>
      <c r="L99" s="6" cm="1" t="str">
        <f t="array" ref="L99">IF(C99="","",IF(K99="Mort / Plus rien à faire","KO","OK"))</f>
        <v/>
      </c>
      <c r="M99" s="11">
</c>
      <c r="N99" s="11" cm="1" t="str">
        <f t="array" ref="N99">IF(OR(C99="",M99="",M99=0),"",M99)</f>
        <v/>
      </c>
      <c r="O99" s="11">
</c>
      <c r="P99" s="11" cm="1" t="str">
        <f t="array" ref="P99">IF(C99="","",IF(OR(O99="",O99=0),"-",O99))</f>
        <v/>
      </c>
      <c r="Q99" s="12">
</c>
      <c r="R99" s="6" cm="1" t="str">
        <f t="array" ref="R99">IF(C99="","",ROUND(Q99/1000000,3)&amp;" M€")</f>
        <v/>
      </c>
      <c r="S99" s="13">
</c>
      <c r="T99" s="6" cm="1" t="str">
        <f t="array" ref="T99">IF(C99="","",SUBSTITUTE(S99,"","")&amp;"%")</f>
        <v/>
      </c>
      <c r="U99" s="10"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c r="AK99" s="5">
</c>
    </row>
    <row r="100" ht="65.25" customHeight="1">
      <c r="A100" s="6">
</c>
      <c r="B100" s="6">
</c>
      <c r="C100" s="8">
</c>
      <c r="D100" s="9">
</c>
      <c r="E100" s="6">
</c>
      <c r="F100" s="6">
</c>
      <c r="G100" s="6" cm="1" t="str">
        <f t="array" ref="G100">IF(F100="","",SUBSTITUTE(SUBSTITUTE(SUBSTITUTE(SUBSTITUTE(F100,"&lt;li&gt;",CHAR(10)),"&lt;/li&gt;",""),"&lt;br&gt;",CHAR(10)),"&lt;strong&gt;",""))</f>
        <v/>
      </c>
      <c r="H100" s="6" cm="1" t="str">
        <f t="array" ref="H100">IF(G100="","",SUBSTITUTE(SUBSTITUTE(SUBSTITUTE(SUBSTITUTE(SUBSTITUTE(G100,"&lt;p&gt;",""),"&lt;/p&gt;",""),"&lt;ul&gt;",""),"&lt;/ul&gt;",""),"&lt;/strong&gt;",""))</f>
        <v/>
      </c>
      <c r="I100" s="10" cm="1" t="str">
        <f t="array" ref="I100">IF(C100="","",IF(OR(H100="",H100=0,H100=FALSE),"-",H100))</f>
        <v/>
      </c>
      <c r="J100" s="6">
</c>
      <c r="K100" s="6">
</c>
      <c r="L100" s="6" cm="1" t="str">
        <f t="array" ref="L100">IF(C100="","",IF(K100="Mort / Plus rien à faire","KO","OK"))</f>
        <v/>
      </c>
      <c r="M100" s="11">
</c>
      <c r="N100" s="11" cm="1" t="str">
        <f t="array" ref="N100">IF(OR(C100="",M100="",M100=0),"",M100)</f>
        <v/>
      </c>
      <c r="O100" s="11">
</c>
      <c r="P100" s="11" cm="1" t="str">
        <f t="array" ref="P100">IF(C100="","",IF(OR(O100="",O100=0),"-",O100))</f>
        <v/>
      </c>
      <c r="Q100" s="12">
</c>
      <c r="R100" s="6" cm="1" t="str">
        <f t="array" ref="R100">IF(C100="","",ROUND(Q100/1000000,3)&amp;" M€")</f>
        <v/>
      </c>
      <c r="S100" s="13">
</c>
      <c r="T100" s="6" cm="1" t="str">
        <f t="array" ref="T100">IF(C100="","",SUBSTITUTE(S100,"","")&amp;"%")</f>
        <v/>
      </c>
      <c r="U100" s="10"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c r="AK100" s="5">
</c>
    </row>
    <row r="101" ht="65.25" customHeight="1">
      <c r="A101" s="6">
</c>
      <c r="B101" s="6">
</c>
      <c r="C101" s="8">
</c>
      <c r="D101" s="9">
</c>
      <c r="E101" s="6">
</c>
      <c r="F101" s="6">
</c>
      <c r="G101" s="6" cm="1" t="str">
        <f t="array" ref="G101">IF(F101="","",SUBSTITUTE(SUBSTITUTE(SUBSTITUTE(SUBSTITUTE(F101,"&lt;li&gt;",CHAR(10)),"&lt;/li&gt;",""),"&lt;br&gt;",CHAR(10)),"&lt;strong&gt;",""))</f>
        <v/>
      </c>
      <c r="H101" s="6" cm="1" t="str">
        <f t="array" ref="H101">IF(G101="","",SUBSTITUTE(SUBSTITUTE(SUBSTITUTE(SUBSTITUTE(SUBSTITUTE(G101,"&lt;p&gt;",""),"&lt;/p&gt;",""),"&lt;ul&gt;",""),"&lt;/ul&gt;",""),"&lt;/strong&gt;",""))</f>
        <v/>
      </c>
      <c r="I101" s="10" cm="1" t="str">
        <f t="array" ref="I101">IF(C101="","",IF(OR(H101="",H101=0,H101=FALSE),"-",H101))</f>
        <v/>
      </c>
      <c r="J101" s="6">
</c>
      <c r="K101" s="6">
</c>
      <c r="L101" s="6" cm="1" t="str">
        <f t="array" ref="L101">IF(C101="","",IF(K101="Mort / Plus rien à faire","KO","OK"))</f>
        <v/>
      </c>
      <c r="M101" s="11">
</c>
      <c r="N101" s="11" cm="1" t="str">
        <f t="array" ref="N101">IF(OR(C101="",M101="",M101=0),"",M101)</f>
        <v/>
      </c>
      <c r="O101" s="11">
</c>
      <c r="P101" s="11" cm="1" t="str">
        <f t="array" ref="P101">IF(C101="","",IF(OR(O101="",O101=0),"-",O101))</f>
        <v/>
      </c>
      <c r="Q101" s="12">
</c>
      <c r="R101" s="6" cm="1" t="str">
        <f t="array" ref="R101">IF(C101="","",ROUND(Q101/1000000,3)&amp;" M€")</f>
        <v/>
      </c>
      <c r="S101" s="13">
</c>
      <c r="T101" s="6" cm="1" t="str">
        <f t="array" ref="T101">IF(C101="","",SUBSTITUTE(S101,"","")&amp;"%")</f>
        <v/>
      </c>
      <c r="U101" s="10"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c r="AK101" s="5">
</c>
    </row>
    <row r="102" ht="65.25" customHeight="1">
      <c r="A102" s="6">
</c>
      <c r="B102" s="6">
</c>
      <c r="C102" s="8">
</c>
      <c r="D102" s="9">
</c>
      <c r="E102" s="6">
</c>
      <c r="F102" s="6">
</c>
      <c r="G102" s="6" cm="1" t="str">
        <f t="array" ref="G102">IF(F102="","",SUBSTITUTE(SUBSTITUTE(SUBSTITUTE(SUBSTITUTE(F102,"&lt;li&gt;",CHAR(10)),"&lt;/li&gt;",""),"&lt;br&gt;",CHAR(10)),"&lt;strong&gt;",""))</f>
        <v/>
      </c>
      <c r="H102" s="6" cm="1" t="str">
        <f t="array" ref="H102">IF(G102="","",SUBSTITUTE(SUBSTITUTE(SUBSTITUTE(SUBSTITUTE(SUBSTITUTE(G102,"&lt;p&gt;",""),"&lt;/p&gt;",""),"&lt;ul&gt;",""),"&lt;/ul&gt;",""),"&lt;/strong&gt;",""))</f>
        <v/>
      </c>
      <c r="I102" s="10" cm="1" t="str">
        <f t="array" ref="I102">IF(C102="","",IF(OR(H102="",H102=0,H102=FALSE),"-",H102))</f>
        <v/>
      </c>
      <c r="J102" s="6">
</c>
      <c r="K102" s="6">
</c>
      <c r="L102" s="6" cm="1" t="str">
        <f t="array" ref="L102">IF(C102="","",IF(K102="Mort / Plus rien à faire","KO","OK"))</f>
        <v/>
      </c>
      <c r="M102" s="11">
</c>
      <c r="N102" s="11" cm="1" t="str">
        <f t="array" ref="N102">IF(OR(C102="",M102="",M102=0),"",M102)</f>
        <v/>
      </c>
      <c r="O102" s="11">
</c>
      <c r="P102" s="11" cm="1" t="str">
        <f t="array" ref="P102">IF(C102="","",IF(OR(O102="",O102=0),"-",O102))</f>
        <v/>
      </c>
      <c r="Q102" s="12">
</c>
      <c r="R102" s="6" cm="1" t="str">
        <f t="array" ref="R102">IF(C102="","",ROUND(Q102/1000000,3)&amp;" M€")</f>
        <v/>
      </c>
      <c r="S102" s="13">
</c>
      <c r="T102" s="6" cm="1" t="str">
        <f t="array" ref="T102">IF(C102="","",SUBSTITUTE(S102,"","")&amp;"%")</f>
        <v/>
      </c>
      <c r="U102" s="10"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c r="AK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À venir" operator="containsText" dxfId="0">
      <formula>NOT(ISERROR(SEARCH("À venir",U4)))</formula>
    </cfRule>
  </conditionalFormatting>
  <conditionalFormatting sqref="U4:U102">
    <cfRule priority="1" stopIfTrue="0" type="containsText" text="Semaine passée" operator="containsText" dxfId="0">
      <formula>NOT(ISERROR(SEARCH("Semaine passée",U4)))</formula>
    </cfRule>
  </conditionalFormatting>
  <tableParts count="1">
    <tablePart r:id="rId1"/>
  </tableParts>
</worksheet>
</file>