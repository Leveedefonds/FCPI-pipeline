
<file path=[Content_Types].xml><?xml version="1.0" encoding="utf-8"?>
<Types xmlns="http://schemas.openxmlformats.org/package/2006/content-types">
  <Default Extension="avif" ContentType="image/avif"/>
  <Default Extension="bmp" ContentType="image/bmp"/>
  <Default Extension="gif" ContentType="image/gif"/>
  <Default Extension="ico" ContentType="image/vnd.microsoft.icon"/>
  <Default Extension="jpeg" ContentType="image/jpeg"/>
  <Default Extension="png" ContentType="image/png"/>
  <Default Extension="tiff" ContentType="image/tiff"/>
  <Default Extension="webp" ContentType="image/webp"/>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table+xml" PartName="/xl/tables/table1.xml"/>
  <Override ContentType="application/vnd.openxmlformats-officedocument.spreadsheetml.worksheet+xml" PartName="/xl/worksheets/sheet0.xml"/>
  <Override ContentType="application/vnd.openxmlformats-officedocument.spreadsheetml.sheetMetadata+xml" PartName="/xl/metadata.xml"/>
  <Override ContentType="application/vnd.openxmlformats-officedocument.spreadsheetml.styles+xml" PartName="/xl/styles.xml"/>
  <Override ContentType="application/vnd.openxmlformats-officedocument.spreadsheetml.sharedStrings+xml" PartName="/xl/sharedStrings.xml"/>
</Types>
</file>

<file path=_rels/.rels><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state="visible" name="Pipeline (Liste #1)" sheetId="1" r:id="rId1"/>
  </sheets>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<sst xmlns="http://schemas.openxmlformats.org/spreadsheetml/2006/main" count="261" uniqueCount="261">
  <si>
    <t xml:space="preserve">    Fichier LP</t>
  </si>
  <si>
    <t>Fonds</t>
  </si>
  <si>
    <t>Typologie</t>
  </si>
  <si>
    <t>Entité</t>
  </si>
  <si>
    <t>Contact</t>
  </si>
  <si>
    <t>Contact Levée</t>
  </si>
  <si>
    <t>Commentaire</t>
  </si>
  <si>
    <t>Commentaire2</t>
  </si>
  <si>
    <t>Commentaire3</t>
  </si>
  <si>
    <t>Commentaire4</t>
  </si>
  <si>
    <t>Activités</t>
  </si>
  <si>
    <t>Étape</t>
  </si>
  <si>
    <t>Intérêt</t>
  </si>
  <si>
    <t>Date de dernière activité</t>
  </si>
  <si>
    <t>Dernière activité</t>
  </si>
  <si>
    <t>Date de prochaine activité</t>
  </si>
  <si>
    <t>Prochaine activité</t>
  </si>
  <si>
    <t>Revenu attendu</t>
  </si>
  <si>
    <t>Ticket</t>
  </si>
  <si>
    <t>% de Maturation</t>
  </si>
  <si>
    <t>Matu.</t>
  </si>
  <si>
    <t>Tri</t>
  </si>
  <si>
    <t>compteur</t>
  </si>
  <si>
    <t>CAP-DEV - Audacia Capital Innovation</t>
  </si>
  <si>
    <t>CGP</t>
  </si>
  <si>
    <t>Cabinet Marc Jesuran</t>
  </si>
  <si>
    <t>Marc JESURAN</t>
  </si>
  <si>
    <t>Pauline Cavalié</t>
  </si>
  <si>
    <t>&lt;p&gt;RDV 24/03 présentation Audacia/FCPI, clients intéressés défisc, campagne mail prévue 300 clients, tickets 5-20k. Convention signée déc. Relances, mails envoyés, attente retours. Appel 28/04 : pas dispo, recontactera. Pas d'intérêt sur 150 OB ter. Prochaine étape : attendre retour campagne.&lt;/p&gt;</t>
  </si>
  <si>
    <t>Souscription réalisée</t>
  </si>
  <si>
    <t>MEILLEURS FCPI</t>
  </si>
  <si>
    <t>Valentin Giraud</t>
  </si>
  <si>
    <t>&lt;p&gt;Appels 03/03 et 21/04 avec Valentin Giraud&amp;nbsp;: rappel sur FCPI, confirmation absence d'accès client, volonté de garder la relation directe. Accord pour envoi courrier clients sur case fiscale manquante. FCPI ouvert jusqu'à fin 2026, dossiers attendus juin/décembre. Pas d'immobilisation cash hors fiscalité.&lt;/p&gt;</t>
  </si>
  <si>
    <t>MEILLEURSFCPI</t>
  </si>
  <si>
    <t>Cyrille Graton</t>
  </si>
  <si>
    <t>Edouard Gaurier</t>
  </si>
  <si>
    <t>&lt;p&gt;Partenaire identifié comme meilleure FCPI, clients souhaitent réinvestir mais souscriptions impossibles pour l’instant, attente côté partenaire. Nouvelle piste créée pour équipe Ventes. Pas d’activité ou d’action récente autre que ce suivi, aucune prochaine étape planifiée à ce jour.&lt;/p&gt;</t>
  </si>
  <si>
    <t>COMMENT BIEN INVESTIR</t>
  </si>
  <si>
    <t>Benoit Richard</t>
  </si>
  <si>
    <t>&lt;p&gt;Appels 21/04&amp;nbsp;: info déclaration FCPI, oubli case fiscale, envoi courrier clients validé par Benoit, remerciements. Déc 2025&amp;nbsp;: demande infos FCPI Audacia, envoi Deck/convention, convention signée. Benoit&amp;nbsp;: 80 clients, forte demande FCPI, souhaite élargir offre. Prochaine étape&amp;nbsp;: suivi envois clients.&lt;/p&gt;</t>
  </si>
  <si>
    <t>HNWI</t>
  </si>
  <si>
    <t>Gilles Closset</t>
  </si>
  <si>
    <t>&lt;p&gt;Aucune activité menée sur le prospect. Seule information : une nouvelle piste a été créée pour l'équipe Ventes. Pas d'échanges, pas de retours, pas d'actions ou de prochaines étapes identifiées à ce jour. Aucun retour prospect ni mention de fonds présentés ou d'avis exprimés.&lt;/p&gt;</t>
  </si>
  <si>
    <t>Clotaire Marchal</t>
  </si>
  <si>
    <t>Levée de Fonds</t>
  </si>
  <si>
    <t>&lt;p&gt;Piste créée pour équipe Ventes le 16/03. Lead enrichi sans données société trouvées (16/03). Mention "Lead de CB" (23/03). Aucun échange, action ou retour prospect identifié depuis. Pas d'activité, pas de prochaine étape connue. Aucun avis prospect sur fonds présenté.&lt;/p&gt;</t>
  </si>
  <si>
    <t>Interêt indicatif - A creuser</t>
  </si>
  <si>
    <t>Romain Laroche</t>
  </si>
  <si>
    <t>&lt;p&gt;Piste créée pour équipe Ventes le 16/03, enrichissement tenté sans données société trouvées, lead identifié comme CB le 23/03. Aucun échange, action ou retour prospect depuis. Pas d'activité ni prochaine étape identifiée à ce jour.&lt;/p&gt;</t>
  </si>
  <si>
    <t>BALLMONT GESTION PRIVEE</t>
  </si>
  <si>
    <t>Geoffrey Chaumeron</t>
  </si>
  <si>
    <t>&lt;p&gt;Cold call 25/02, intérêt confirmé, RDV fixé. 17/03 visio FCPI Capital Innovation: prospect intéressé, veut infos régulières, focus sur sous-jacents, défisc prioritaire pour clients. Mail envoyé avec docs, relance pour 2nd RDV avec Cédric et convention. Prochaine étape: organiser RDV début mai.&lt;/p&gt;</t>
  </si>
  <si>
    <t>Relance pour organisation du 2nd RDV</t>
  </si>
  <si>
    <t>En Due Diligence</t>
  </si>
  <si>
    <t>INTENCIAL</t>
  </si>
  <si>
    <t>Jonathan BENHARROUS</t>
  </si>
  <si>
    <t>Romain Andrieu</t>
  </si>
  <si>
    <t>&lt;p&gt;RDV physique 23/03 avec Pierre Massart (Intencial). CR : fusion ALFEIS/INTENTIAL, digitalisation à venir, focus PE/SCPI, due diligence prévue début mai/juin, attente éléments pour comité validation. Convention distribution à finaliser, digitalisation optionnelle, envoi prospectus/DIC à prévoir. Pas de comité en avril.&lt;/p&gt;</t>
  </si>
  <si>
    <t>Comité de validation /  mai ou juin / en attente de la due dil.</t>
  </si>
  <si>
    <t>CABINET PATRIZEN</t>
  </si>
  <si>
    <t>Axel Rotier</t>
  </si>
  <si>
    <t>&lt;p&gt;Rencontre Salon Next Gen Patrimoine 16/04, prospect Axel intéressé par offre pour petits clients. Présentation cabinet, 10m€ encours, 4m€ diversification. Envoi brochure FCPI, visio 22/04, décision de commercialiser à partir de septembre. Convention et liste KYD adressées, attente signature.&lt;/p&gt;</t>
  </si>
  <si>
    <t>Bruno Rohée</t>
  </si>
  <si>
    <t>&lt;p&gt;Lead CB créé pour équipe Ventes, aucune activité, échange ou action suivie depuis la création. Aucun retour prospect, aucune interaction ni prochaine étape identifiée. Aucun suivi ou compte-rendu disponible à ce jour. Pas d'information sur l'origine précise de la piste ni de contexte additionnel.&lt;/p&gt;</t>
  </si>
  <si>
    <t>DPA PATRIMOINE</t>
  </si>
  <si>
    <t>Nicolas Pinchault</t>
  </si>
  <si>
    <t>&lt;p&gt;Visio 08/04 : présentation Audacia/FCPI, prospect intéressé mais prudent sur santé, souhaite consulter confrères, intéressé par immo. Mail 08/04 : envoi présentations, proposition RDV équipe immo + 2e RDV FCPI. Mail 21/04 : organisation RDV Levée et 2e RDV Cédric. Prochaine étape : organiser 2e RDV FCPI + équipe immo.&lt;/p&gt;</t>
  </si>
  <si>
    <t>Lucas Jouan</t>
  </si>
  <si>
    <t>&lt;p&gt;Nouvelle piste créée pour équipe Ventes. Mail envoyé pour prévoir échange téléphonique sur le FCPI. Pas de données société trouvées via enrichissement email. Aucun retour prospect ni activité complémentaire enregistrée. Prochaines étapes : attendre retour pour fixer l'échange téléphonique.&lt;/p&gt;</t>
  </si>
  <si>
    <t>Banque (haut de bilan)</t>
  </si>
  <si>
    <t>CAISSE D'EPARGNE BOURGOGNE FRANCHE CONTE</t>
  </si>
  <si>
    <t>Anne Chaineaux</t>
  </si>
  <si>
    <t>&lt;p&gt;RDV physique calé avec Romain Barnay (Directeur Banque Privé) pour approche banquier privé. Dernière action : prise de contact, objectif : présenter fonds XXXX. Pas de retour prospect sur fonds à ce stade. Prochaine étape : tenir le RDV fixé, suivi à prévoir selon échanges.&lt;/p&gt;</t>
  </si>
  <si>
    <t>Nouveau rdv capdev (C4 et Straton) prévu le 28 avril avec la Directrice de l'offre</t>
  </si>
  <si>
    <t>Intérêt à qualifier</t>
  </si>
  <si>
    <t>Cypraea Patrimoine</t>
  </si>
  <si>
    <t>Debaty Emmanuel</t>
  </si>
  <si>
    <t>&lt;p&gt;Nouvelle piste créée pour équipe Ventes. R1 programmé le 9 juin avec Cédric et Romain. Enrichissement lead tenté, pas de données société trouvées via email. Pas d'autres activités ou retours prospects mentionnés. Prochaine étape : R1 le 9 juin.&lt;/p&gt;</t>
  </si>
  <si>
    <t>AURIS GESTION PRIVEE</t>
  </si>
  <si>
    <t>Michel Hollander</t>
  </si>
  <si>
    <t>&lt;p&gt;Appel avec Michel Hollander, Stanislas Guerrin et Alban Ardin à mettre en copie pour organiser RDV avec Gérant FCPI. Nouvelle piste créée pour équipe Ventes. Prochaine étape : fixer dates avec le gérant. Pas d'autres retours ou conclusions prospects mentionnés à ce stade.&lt;/p&gt;</t>
  </si>
  <si>
    <t>Cabinet d'avocats</t>
  </si>
  <si>
    <t>SELASU EMILIE MAZZEI AVOCAT</t>
  </si>
  <si>
    <t>Emilie Mazzei</t>
  </si>
  <si>
    <t>&lt;p&gt;04/05/26: prise de contact par TS, prospect montre de l'intérêt, rendez-vous en cours de programmation. Nouvelle piste créée pour équipe Ventes. Pas d'autres actions ou retours prospect mentionnés. Prochaine étape : fixer le rendez-vous.&lt;/p&gt;</t>
  </si>
  <si>
    <t>Private Equity Valley</t>
  </si>
  <si>
    <t>Ali Marwan</t>
  </si>
  <si>
    <t>&lt;p&gt;Nouvelle piste créée pour équipe Ventes. RDV programmé le 7 mai à 15h par Théo Salerno. Pas d'autres actions ou retours prospect mentionnés. Prochaine étape : tenir le RDV du 7 mai. Aucun retour prospect sur fonds présentés à ce stade. Pas d'autres activités recensées.&lt;/p&gt;</t>
  </si>
  <si>
    <t>DEBEVE PATRIMOINE</t>
  </si>
  <si>
    <t>Vincent DEBEVE</t>
  </si>
  <si>
    <t>&lt;p&gt;Cold call 11/2025, Vincent Debeve intéressé par nos fonds, mail envoyé. RDV 12/03/2026 : présentation Audacia &amp;amp; FCPI, intérêt pour FCPI, préfère tickets &amp;lt;100k, travaille avec Alto pour défisc. Présentations envoyées, demande intro Métagram. Relance prévue mai/juin pour campagne souscription septembre.&lt;/p&gt;</t>
  </si>
  <si>
    <t>Relance Mai / juin avant la campagne des déclarations fiscales</t>
  </si>
  <si>
    <t>FORTUNIS PATRIMOINE</t>
  </si>
  <si>
    <t>Vincent Doucet</t>
  </si>
  <si>
    <t>&lt;p&gt;Prise de contact le 20/04, prospect intéressé par FCPI. Mail de présentation Audacia + Deck FCPI envoyé le 20/04. Pas de retour prospect à date, prochaine étape : attendre feedback suite à l'envoi du deck. Pas d'autres actions prévues pour l'instant. Suivi à poursuivre.&lt;/p&gt;</t>
  </si>
  <si>
    <t>Prise de News</t>
  </si>
  <si>
    <t>REDUCTION-IMPOTS.FR</t>
  </si>
  <si>
    <t>Bertrand Brottier</t>
  </si>
  <si>
    <t>&lt;p&gt;Multiples échanges et relances depuis janvier pour commercialiser FCPI JEI. Présentation FCPI Audacia, échanges sur défiscalisation, envoi docs le 20/04. RDV physique prévu puis reporté. Intérêt confirmé pour commercialisation, mais timing serré côté prospect. Prochaine étape : relance à prévoir.&lt;/p&gt;</t>
  </si>
  <si>
    <t xml:space="preserve">BAUDINO CONSEIL </t>
  </si>
  <si>
    <t>Jérémy Baudino</t>
  </si>
  <si>
    <t>&lt;p&gt;Intérêt prospect pour FCPI, documentation transmise. Beaucoup de trésorerie d'entreprise, peu de non côté à cause de la durée, société en début d'activité. Pas d'activité complémentaire ni prochaine étape identifiée à ce stade. Suivi à renforcer selon retour sur FCPI.&lt;/p&gt;</t>
  </si>
  <si>
    <t>ARENAIRE GESTION PRIVEE</t>
  </si>
  <si>
    <t>Louis Souchaud</t>
  </si>
  <si>
    <t>&lt;p&gt;Rencontre au Salon Next Gen Patrimoine, échanges mails/LinkedIn, proposition RDV envoyée 21/04, offre présentée, prospect (Louis) intéressé, remercie, souhaite recontact début juillet. Suivi à prévoir début juillet, pas d'autres actions immédiates. Cabinet basé Paris/Chateauroux.&lt;/p&gt;</t>
  </si>
  <si>
    <t>Relance début juillet à faire</t>
  </si>
  <si>
    <t>Banque privée</t>
  </si>
  <si>
    <t>Edmond de Rothschild</t>
  </si>
  <si>
    <t>Renzo Evangelista</t>
  </si>
  <si>
    <t>&lt;p&gt;Contact à prévoir par LG, déjà pitché mais pas à ce niveau. Tentative d’enrichissement lead échouée (email invalide). Nouvelle piste créée pour équipe Ventes. Prochaines étapes&amp;nbsp;: recontacter. Banque Privée EdR&amp;nbsp;: collecte 2Mds€ 2025, marché non coté 20%, clients 10M€ patrimoine, intérêt remploi 150 OB ter.&lt;/p&gt;</t>
  </si>
  <si>
    <t>CA INDOSUEZ Wealth Management</t>
  </si>
  <si>
    <t>Guillaume Rimault</t>
  </si>
  <si>
    <t>&lt;p&gt;Piste créée pour équipe Ventes. Enrichissement impossible (email invalide). Déjà pitché, à recontacter par LG, sont partenaires chez nous. Pas d'autres actions ou retours prospects mentionnés. Prochaine étape : prise de contact par LG.&lt;/p&gt;</t>
  </si>
  <si>
    <t>CYRUS HEREZ</t>
  </si>
  <si>
    <t>Patrick Ganansia</t>
  </si>
  <si>
    <t>&lt;p&gt;Nouvelle piste créée équipe Ventes. Premier contact à prévoir par LG, déjà pitché par Charles. Enrichissement lead impossible, email non valide. Aucun retour prospect ni activité complémentaire enregistrée. Prochaine étape : prise de contact par LG.&lt;/p&gt;</t>
  </si>
  <si>
    <t>ROCKFI</t>
  </si>
  <si>
    <t>Pierre Marin</t>
  </si>
  <si>
    <t>&lt;p&gt;Nouvelle piste créée équipe Ventes. Enrichissement impossible (email invalide). Déjà pitché mais pas à ce niveau, à recontacter par LG. Pas d'autres actions ou retours prospect. Prochaine étape&amp;nbsp;: prise de contact par LG. Aucun retour prospect sur fonds présentés à ce stade.&lt;/p&gt;</t>
  </si>
  <si>
    <t>GENERALI</t>
  </si>
  <si>
    <t>Philippe donnet</t>
  </si>
  <si>
    <t>&lt;p&gt;Nouvelle piste créée équipe Ventes. Enrichissement lead impossible (email invalide). Déjà pitché mais pas à ce niveau, à recontacter par LG. Pas d'autres actions ou retours prospect. Prochaine étape : prise de contact par LG. Aucun passage en comité mentionné.&lt;/p&gt;</t>
  </si>
  <si>
    <t>GENERALI FRANCE</t>
  </si>
  <si>
    <t>Hugues Aubry</t>
  </si>
  <si>
    <t>&lt;p&gt;Nouvelle piste créée équipe Ventes. Enrichissement impossible (email non valide). Prospect déjà pitché, à recontacter par LG. Pas d'autres actions ou retours prospect mentionnés. Prochaines étapes&amp;nbsp;: relance à prévoir par LG. Pas d'indication sur avis prospect ou contexte création piste.&lt;/p&gt;</t>
  </si>
  <si>
    <t>Assurance/Mutuelle</t>
  </si>
  <si>
    <t>Groupama</t>
  </si>
  <si>
    <t>Sylvain Burel</t>
  </si>
  <si>
    <t>&lt;p&gt;Nouvelle piste créée pour équipe Ventes. Enrichissement lead impossible (email invalide). Prospect déjà pitché, à recontacter par LG. Pas d'autres actions ni retours prospect sur fonds présentés. Prochaine étape&amp;nbsp;: prise de contact par LG. Aucun passage en comité mentionné.&lt;/p&gt;</t>
  </si>
  <si>
    <t>Suravenir</t>
  </si>
  <si>
    <t>François-Régis Bernicot</t>
  </si>
  <si>
    <t>&lt;p&gt;Nouvelle piste créée pour équipe Ventes. Pitch effectué par Thomas Guyot, à recontacter par LG. Tentative d'enrichissement lead échouée (email non valide). Prochaine action : prise de contact par LG. Pas d'autres activités ou retours prospect mentionnés à ce stade.&lt;/p&gt;</t>
  </si>
  <si>
    <t>ARKEA</t>
  </si>
  <si>
    <t>Xavier Chapon</t>
  </si>
  <si>
    <t>&lt;p&gt;Contact ARKEA effectué par LG, incluant Julien Carmona. Enrichissement lead impossible (email invalide). Nouvelle piste créée pour équipe Ventes. Dernière activité notable&amp;nbsp;: préparation réunion stratégique (février STRATON&amp;lt;&amp;gt;SLPE EXPANSION). Prochaine étape&amp;nbsp;: organiser réunion, échéance 14/01/2026.&lt;/p&gt;</t>
  </si>
  <si>
    <t>MATMUT</t>
  </si>
  <si>
    <t>Nicolas GOMART</t>
  </si>
  <si>
    <t>&lt;p&gt;Nouvelle piste créée pour équipe Ventes. Prospect déjà pitché, à recontacter par LG. Pas d'autres actions ou retours prospect mentionnés. Prochaine étape : prise de contact par LG. Aucune conclusion prospect ni passage en comité signalés dans les échanges.&lt;/p&gt;</t>
  </si>
  <si>
    <t>David Martinon</t>
  </si>
  <si>
    <t>&lt;p&gt;Piste créée pour équipe Ventes (16/03). Lead identifié CB (23/03). Relance mail envoyée pour échange téléphonique (30/03) par Edouard Gaurier. Aucun retour ou action récente du prospect. Pas d'activité ou d'échange significatif depuis, prochaine étape non planifiée à ce jour.&lt;/p&gt;</t>
  </si>
  <si>
    <t>Guy Cimarelli</t>
  </si>
  <si>
    <t>CIMARELLI GUY</t>
  </si>
  <si>
    <t>&lt;p&gt;Nouvelle piste créée pour équipe Ventes. Prospect souhaite réinvestir dans FCPI 12K, indisponible actuellement. Aucun échange ou activité supplémentaire relevé. Prochaines étapes non définies, attente d'évolution sur disponibilité FCPI 12K. Pas d'autres actions ou retours du prospect.&lt;/p&gt;</t>
  </si>
  <si>
    <t>OLIFAN GROUP</t>
  </si>
  <si>
    <t>Nicolas BOUTRY</t>
  </si>
  <si>
    <t>&lt;p&gt;Appel relance Teams avec gérant FCPI le 30/03, échange noté, pas de retour détaillé du prospect sur les fonds. Nouvelle piste créée pour équipe Ventes le 13/03. Prochaine étape : suivi relance avec gérant FCPI. Pas d'autres actions ou retours prospect mentionnés.&lt;/p&gt;</t>
  </si>
  <si>
    <t>CHEVAL BLANC PATRIMOINE</t>
  </si>
  <si>
    <t>Nam Delpierre</t>
  </si>
  <si>
    <t>&lt;p&gt;25/02/26 café avec Directeur Cheval Blanc Patrimoine CGP Paris 16, offre globale évoquée, prospect pas intéressé pour l’instant, préfère fonds de dette privés, mauvaise image fonds fiscaux. A choisi Wind Capital en FCPI, ouvert à revoir en 2026. Pas d’action prévue à court terme.&lt;/p&gt;</t>
  </si>
  <si>
    <t>Pas encore prêt - A alimenter</t>
  </si>
  <si>
    <t xml:space="preserve">ARTAZAN PATRIMOINE </t>
  </si>
  <si>
    <t>Arthur Azadan</t>
  </si>
  <si>
    <t>&lt;p&gt;Cold call CGP Paris 25/11, client peu PE, focus dette privée/infra, mais intérêt potentiel pour Capital Innovation. Présentation envoyée 01/12, relance mail 16/12, relance FCPI 04/03 (message laissé). Dernière action : mail à envoyer. Pas de retour prospect sur fonds à ce stade.&lt;/p&gt;</t>
  </si>
  <si>
    <t>NEUFLIZE OBC</t>
  </si>
  <si>
    <t>Melanie Barrato</t>
  </si>
  <si>
    <t>&lt;p&gt;Peu d'infos récentes : messages "lead LG" sans détails, nouvelle piste créée pour équipe Ventes, aucune activité planifiée ni retour prospect, aucune donnée chiffrée. Dernière action prévue : relance Straton (échéance 29/11/2025). Aucun message nécessitant action, suivi prospect limité.&lt;/p&gt;</t>
  </si>
  <si>
    <t>PRIVATE EQUITY VALLEY</t>
  </si>
  <si>
    <t>Véronique Yang</t>
  </si>
  <si>
    <t>&lt;p&gt;Rencontre Véronique Yang Salon Next Gen le 16/04. Mail de suivi envoyé, proposition de RDV avec Cédric et PC. Opportunité créée pour équipe Ventes. Prochaine étape&amp;nbsp;: attendre retour suite au mail de suivi et proposition de RDV. Pas de retour prospect sur fonds à ce stade.&lt;/p&gt;</t>
  </si>
  <si>
    <t>Relance</t>
  </si>
  <si>
    <t>Conseil</t>
  </si>
  <si>
    <t>Groupe Forward Finance</t>
  </si>
  <si>
    <t>Alban De Follin</t>
  </si>
  <si>
    <t>&lt;p&gt;Nouvelle piste créée équipe Ventes, origine lead de CJ, aucun échange ou activité ultérieure enregistrée, pas de retour prospect ni d'action planifiée. Aucun suivi ou interaction supplémentaire constaté à ce jour. Prochaines étapes non définies, aucune activité programmée.&lt;/p&gt;</t>
  </si>
  <si>
    <t>à relancer (Alban de Faulin) par CJ.</t>
  </si>
  <si>
    <t>ODDO BANQUE PRIVÉE</t>
  </si>
  <si>
    <t>Emmanuel d'Orsay</t>
  </si>
  <si>
    <t>&lt;p&gt;Piste créée pour équipe Ventes, email non valide donc enrichissement impossible. Prospect déjà pitché, à recontacter par LG. Pas d'autres actions ou retours du prospect à ce stade. Prochaine étape : relance par LG. Aucune mention de comité ni de contexte de création spécifique.&lt;/p&gt;</t>
  </si>
  <si>
    <t>Montpensier</t>
  </si>
  <si>
    <t>Guillaume Dard</t>
  </si>
  <si>
    <t>&lt;p&gt;Nouvelle piste créée équipe Ventes. Enrichissement impossible, email invalide. Déjà pitché, mais pas à cette personne, à recontacter par LG. Pas d'autres actions ni retours du prospect. Prochaine étape : prise de contact par LG. Aucun retour prospect sur fonds présentés à ce stade.&lt;/p&gt;</t>
  </si>
  <si>
    <t>CARAT CAPITAL</t>
  </si>
  <si>
    <t>Sandrine Genet</t>
  </si>
  <si>
    <t>&lt;p&gt;Piste créée pour équipe Ventes, email prospect non valide, enrichissement impossible. Déjà pitché, à recontacter par LG. Pas d'autres actions ni retours prospect sur fonds. Prochaine étape : prise de contact par LG. Aucun passage en comité mentionné.&lt;/p&gt;</t>
  </si>
  <si>
    <t>LOUVRE BANQUE PRIVEE</t>
  </si>
  <si>
    <t>Hervé Guiriec</t>
  </si>
  <si>
    <t>&lt;p&gt;Nouvelle piste créée équipe Ventes. Tentative d'enrichissement échouée (email non valide). À contacter par LG, déjà pitché mais pas à cette personne. Pas d'autres actions ou retours prospect. Prochaine étape&amp;nbsp;: prise de contact par LG.&lt;/p&gt;</t>
  </si>
  <si>
    <t>BANQUE TRANSATLANTIQUE</t>
  </si>
  <si>
    <t>Bruno Julien-Lafferrière</t>
  </si>
  <si>
    <t>&lt;p&gt;Piste créée équipe Ventes. Enrichissement lead impossible (email invalide). Prospect déjà pitché, à recontacter par LG. Pas d'autres actions ou retours prospect mentionnés. Prochaine étape : relancer contact par LG. Aucun retour prospect sur fonds présenté à ce stade.&lt;/p&gt;</t>
  </si>
  <si>
    <t>Benoit Bourdin</t>
  </si>
  <si>
    <t>&lt;p&gt;Déj 07/04/2026 CJ/Bourdin&amp;nbsp;: intérêt club deal tech (IndoSuez), lead FCPI 2027, préparer candidature remplacement mandat Partech. Mail CJ&amp;nbsp;: envoi doc FCPI, brainstorming véhicule commun pour 2027, dispo pour questions. Prochaine étape&amp;nbsp;: actions à suivre par Cedric, deadline 24/04/2026.&lt;/p&gt;</t>
  </si>
  <si>
    <t>rebond sur le déjeuner &lt;&gt; actions à suivre par Cedric</t>
  </si>
  <si>
    <t>EVOLI PATRIMOINE</t>
  </si>
  <si>
    <t>Stéphanie Tan</t>
  </si>
  <si>
    <t>&lt;p&gt;Nouvelle piste créée pour équipe Ventes. Aucun échange significatif depuis, prospect en congé maternité, relance prévue début 2027. Pas d'autres actions ou retours du prospect à ce jour. Suivi à reprendre à la date indiquée, aucune activité commerciale active actuellement.&lt;/p&gt;</t>
  </si>
  <si>
    <t>VIGIFINANCE</t>
  </si>
  <si>
    <t>Jeremy Archinard</t>
  </si>
  <si>
    <t>&lt;p&gt;Nouvelle piste créée pour équipe Ventes. 04/05/26 - Théo Salerno : RDV en cours de programmation. Pas d'autres actions ou retours prospect à ce stade. Prochaine étape : fixer le RDV. Aucun retour sur fonds présentés ni avis prospect pour l'instant.&lt;/p&gt;</t>
  </si>
  <si>
    <t>LINXEA</t>
  </si>
  <si>
    <t>Sébastien RAPHANAUD</t>
  </si>
  <si>
    <t>&lt;p&gt;Florian Demars quitte Linxea, Pierre Guerin reprend le PE. Politique actuelle : pas de nouveaux fonds référencés, collecte faible sur le PE, passage en précomité plutôt KO. Sébastien transmet infos, relance possible Pierre Guerin. Pas de projet de référencement 2026. Suivi à maintenir, prochaine étape : tenir informé d'ici 01/10/2026.&lt;/p&gt;</t>
  </si>
  <si>
    <t>Tenir informé</t>
  </si>
  <si>
    <t>Theseis</t>
  </si>
  <si>
    <t>Pierre verger</t>
  </si>
  <si>
    <t>&lt;p&gt;Contact initial NextGen, échange positif Romain/Pierre. Présentation offre retail AUDACIA (FCPI, co-investissement start-up tech, newspace, décarbonation, santé/biotech, fiscalité IR 27%). Offre club deal immobilier senior (Lyon, Le Vésinet). Prochaine étape&amp;nbsp;: fixer rdv pour approfondir. Pas d'autres actions.&lt;/p&gt;</t>
  </si>
  <si>
    <t>MILLEIS BANQUE</t>
  </si>
  <si>
    <t>Nicolas Hubert</t>
  </si>
  <si>
    <t>&lt;p&gt;Nouvelle piste créée pour équipe Ventes. Tentative d'enrichissement impossible (email invalide). Déjà pitché (pas cette personne), à recontacter par LG. Pas d'autres actions ou retours prospect. Prochaines étapes : prise de contact à planifier par LG.&lt;/p&gt;</t>
  </si>
  <si>
    <t>Bred Banque Privée</t>
  </si>
  <si>
    <t>Caroline Thiebaud</t>
  </si>
  <si>
    <t>&lt;p&gt;Relance mail envoyée le 13/03 pour prise de RDV présentation Audacia et gérant FCPI. Nouvelle piste créée pour équipe Ventes. Pas d'autres échanges, appels ou retours mentionnés. Prochaine étape : attendre retour pour fixer RDV. Aucun retour prospect sur fonds à ce stade.&lt;/p&gt;</t>
  </si>
  <si>
    <t>MAGNACARTA</t>
  </si>
  <si>
    <t>Corinne Vigouroux</t>
  </si>
  <si>
    <t>&lt;p&gt;Call 12/03 avec Corinne Vigouroux, présentation offre FCPi avec Gérant. Mail envoyé pour proposer dates de suivi en avril. Pas de retour prospect sur l'offre pour l'instant, attente de réponse pour fixer prochain RDV. Aucune autre activité ou retour mentionné à ce stade.&lt;/p&gt;</t>
  </si>
  <si>
    <t>Call le 12 mars avec Corinne Vigouroux pour présenter offre FCPi avec Gérant, mail pour proposer dates en avril</t>
  </si>
  <si>
    <t>BNP PARIBAS</t>
  </si>
  <si>
    <t>Fabrice Bagne</t>
  </si>
  <si>
    <t>&lt;p&gt;Nouvelle piste créée équipe Ventes. Enrichissement lead impossible (email invalide). Déjà pitché à contacter par LG, mais pas la bonne personne. Aucune activité complémentaire, pas de retour prospect, pas d'action planifiée. Prochaine étape&amp;nbsp;: identifier bon contact et relancer.&lt;/p&gt;</t>
  </si>
  <si>
    <t>BPCE SA</t>
  </si>
  <si>
    <t>Pinot</t>
  </si>
  <si>
    <t>&lt;p&gt;26 mars : réponse BPCE sur référencement 150 0 B ter, action CJ en cours. Suivi par Romain Andrieu. Prochaine étape : pousser référencement 150 0 Bter Capdev et travailler offre Transgénérationnelle. Pas d'autres retours ou conclusions prospect mentionnés.&lt;/p&gt;</t>
  </si>
  <si>
    <t>Particia Pinot indique que nous pourrons entamer le process en Sept pour un referencemnt en 2027</t>
  </si>
  <si>
    <t>Banque Richelieu</t>
  </si>
  <si>
    <t>Jean-Marc Ribes</t>
  </si>
  <si>
    <t>&lt;p&gt;Piste créée pour équipe Ventes. Enrichissement lead impossible (email invalide). Déjà pitché par LG lors de ses responsabilités à la Banque du Louvres, à recontacter par LG. Aucune activité ou échange supplémentaire enregistré, prochaine étape&amp;nbsp;: prise de contact par LG.&lt;/p&gt;</t>
  </si>
  <si>
    <t>Lombard</t>
  </si>
  <si>
    <t>Edouard St Pierre</t>
  </si>
  <si>
    <t>&lt;p&gt;Nouvelle piste créée équipe Ventes. Enrichissement lead impossible, email invalide. Contact à prévoir par LG, déjà pitché mais pas à cette personne. Pas de retour prospect ni d'activité supplémentaire. Prochaine étape&amp;nbsp;: prise de contact par LG.&lt;/p&gt;</t>
  </si>
  <si>
    <t>SOCIETE GENERALE private banking</t>
  </si>
  <si>
    <t>Mathieu Vedrenne</t>
  </si>
  <si>
    <t>&lt;p&gt;Nouvelle piste créée équipe Ventes. Tentative d'enrichissement échouée (email invalide). À contacter par LG, déjà pitché mais pas à cette personne. Prochaine étape : prise de contact ciblée par LG. Aucune conclusion prospect ni retour sur fonds présentés à ce stade.&lt;/p&gt;</t>
  </si>
  <si>
    <t>Edmond de Rothschild Asset Management Private Bank Advisory Investment</t>
  </si>
  <si>
    <t>Alain Massiera</t>
  </si>
  <si>
    <t>&lt;p&gt;Nouvelle piste créée équipe Ventes. Tentative d'enrichissement échouée (email invalide). Déjà pitché par LG mais pas à ce niveau, à recontacter. Aucune activité complémentaire ni retour prospect sur fonds. Prochaine étape : prise de contact par LG.&lt;/p&gt;</t>
  </si>
  <si>
    <t>AMBACIA PATRIMOINE</t>
  </si>
  <si>
    <t>Clémence Rytlewski</t>
  </si>
  <si>
    <t>&lt;p&gt;Cold call FCPI 25/02, prospect travaille surtout avec LBO France, peu d'intérêt clients pour FCPI. Présentation envoyée, relance mail 19/03, proposition RDV. Prospect répond mais FCPI pas prioritaire actuellement. Pas d'activité récente ni prochaine étape planifiée.&lt;/p&gt;</t>
  </si>
  <si>
    <t>Relance à prévoir courant juin</t>
  </si>
  <si>
    <t>Boursorama Gestion Privée</t>
  </si>
  <si>
    <t>Jean Bay</t>
  </si>
  <si>
    <t>&lt;p&gt;05/02/2026: Intérêt manifesté pour solutions de diversification, peu de dossiers de remploi, prise de contact à planifier avec Charles. Lead créé pour équipe Ventes. Enrichissement lead impossible (email invalide). Aucune activité ou action future planifiée à ce jour.&lt;/p&gt;</t>
  </si>
  <si>
    <t>Caisse Régionale du Crédit Agricole Brie-Picardie</t>
  </si>
  <si>
    <t>Benjamin GREBET</t>
  </si>
  <si>
    <t>&lt;p&gt;Relance effectuée par Odp le 17 avril. Nouvelle piste créée pour l'équipe Ventes. Aucune activité ou action complémentaire enregistrée depuis la création. Pas de retour ou d'échange supplémentaire identifié. Prochaines étapes non planifiées à ce jour.&lt;/p&gt;</t>
  </si>
  <si>
    <t>BANQUE POPULAIRE AUVERGNE RHONE ALPES</t>
  </si>
  <si>
    <t>Virginie Bernard</t>
  </si>
  <si>
    <t>&lt;p&gt;RDV physique 17/04 avec Virginie Bernard (mandataire BDR) : pas d'intérêt pour l'instant, BPCE SA privilégiée. Réunion de présentation reportée à plus tard. Aucune action ou activité future planifiée à ce stade. Nouvelle piste créée pour équipe Ventes le 13/03. Aucun suivi supplémentaire.&lt;/p&gt;</t>
  </si>
  <si>
    <t>Mort / Plus rien à faire</t>
  </si>
  <si>
    <t>Nils Rouable</t>
  </si>
  <si>
    <t>&lt;p&gt;Prospect a rempli le questionnaire via site Audacia, relancé par mail avec proposition RDV + doc FCPI. Appel : prospect préfère d'autres fonds, FCPI pas prioritaire, intéressé par Quanto mais fonds fermé, pas de suite prévue, nous recontactera si questions. Pas d'activité récente ni prochaine étape.&lt;/p&gt;</t>
  </si>
  <si>
    <t>Probablement mort</t>
  </si>
  <si>
    <t>Société de gestion</t>
  </si>
  <si>
    <t>NATIXIS WEALTH MANAGEMENT</t>
  </si>
  <si>
    <t>Audrey Koenig</t>
  </si>
  <si>
    <t>&lt;p&gt;Piste créée pour équipe Ventes. Tentative d'enrichissement échouée (email invalide). Contact à effectuer par LG, déjà pitché mais pas à cette personne. Dernier retour prospect : pas d'intérêts. Pas d'autres actions ou prochaines étapes identifiées à ce jour.&lt;/p&gt;</t>
  </si>
  <si>
    <t>Corporate</t>
  </si>
  <si>
    <t>AUREA WM</t>
  </si>
  <si>
    <t>AUREA WM, Julien Ros</t>
  </si>
  <si>
    <t>&lt;p&gt;Multiples relances mails/appels FCPI de nov. 2025 à avr. 2026. Prospect intéressé par nos stratégies mais préfère renforcer relations existantes, pas de nouveaux partenaires pour l’instant. Dernier échange 20/04/2026&amp;nbsp;: ne souhaite plus être contacté, reviendra si besoin. Pas d’action à venir.&lt;/p&gt;</t>
  </si>
  <si>
    <t>SELENCIA AGEAS</t>
  </si>
  <si>
    <t>Olivier Samain</t>
  </si>
  <si>
    <t>&lt;p&gt;17/03 RDV avec Oliver Samain : discussion FCPI/FPCI, problématique valorisation trimestrielle/quotidienne pour assurance vie, liquidité, deeptech dès 5k€, taille fonds dépend enjeu stratégique, référencement CGP/assureurs Qonto/Bourso/Revolut. Prochaine étape : caler café pour revue marché/avis.&lt;/p&gt;</t>
  </si>
  <si>
    <t>caler un café pour revue de marché/avis avec Olivier Samain</t>
  </si>
  <si>
    <t>REVOLUT</t>
  </si>
  <si>
    <t>Hugo Bodilis</t>
  </si>
  <si>
    <t>&lt;p&gt;Aucune activité ni échange significatif relevé à ce jour sur cette opportunité. Seule information : piste créée pour l'équipe Ventes. Aucun suivi, action ou retour prospect enregistré. Pas de prochaines étapes identifiées ni de conclusion sur les fonds présentés.&lt;/p&gt;</t>
  </si>
  <si>
    <t>Rdv en cours avec Jing Xie / Privaet Market</t>
  </si>
  <si>
    <t>Jérémie Lepissier</t>
  </si>
  <si>
    <t>&lt;p&gt;24/02/2026 : Café avec HNWI, ex-cofondateur Matis SDG, exit 1,5M€. Intérêt possible FCPI 30K€, autres tickets jugés trop élevés. Depuis, KO, prospect se concentre sur achat appartement. Dernière action : prise de news prévue pour 04/01/2027. Pas d'autres actions prévues à ce jour.&lt;/p&gt;</t>
  </si>
  <si>
    <t>Prise de news</t>
  </si>
</sst>
</file>

<file path=xl/styles.xml><?xml version="1.0" encoding="utf-8"?>
<styleSheet xmlns="http://schemas.openxmlformats.org/spreadsheetml/2006/main" xmlns:r="http://schemas.openxmlformats.org/officeDocument/2006/relationships">
  <numFmts count="2">
    <numFmt numFmtId="164" formatCode="dd/mm/yyyy"/>
    <numFmt numFmtId="165" formatCode="#,##0.00[$€]"/>
  </numFmts>
  <fonts count="4">
    <font>
      <sz val="10"/>
      <color rgb="000000"/>
      <name val="Arial"/>
    </font>
    <font>
      <sz val="10"/>
      <color rgb="FFFFFF"/>
      <name val="Arial"/>
    </font>
    <font>
      <sz val="30"/>
      <color rgb="FFFFFF"/>
      <name val="Arial"/>
    </font>
    <font>
      <sz val="10"/>
      <color rgb="351C75"/>
      <name val="Arial"/>
    </font>
  </fonts>
  <fills count="5">
    <fill>
      <patternFill patternType="none"/>
    </fill>
    <fill>
      <patternFill patternType="gray125"/>
    </fill>
    <fill>
      <patternFill patternType="solid">
        <fgColor rgb="351C75"/>
        <bgColor indexed="64"/>
      </patternFill>
    </fill>
    <fill>
      <patternFill patternType="solid">
        <fgColor rgb="FFFFFF"/>
        <bgColor indexed="64"/>
      </patternFill>
    </fill>
    <fill>
      <patternFill patternType="solid">
        <fgColor rgb="FF9900"/>
        <bgColor indexed="64"/>
      </patternFill>
    </fill>
  </fills>
  <borders count="1">
    <border>
      <left>
        </left>
      <right>
        </right>
      <top>
        </top>
      <bottom>
        </bottom>
      <diagonal>
        </diagonal>
    </border>
  </borders>
  <cellXfs count="16">
    <xf numFmtId="0" fillId="0" fontId="0" borderId="0"/>
    <xf numFmtId="0" fillId="2" fontId="1" borderId="0" applyAlignment="1">
      <alignment vertical="center" horizontal="center"/>
    </xf>
    <xf numFmtId="0" fillId="2" fontId="1" borderId="0" applyAlignment="1">
      <alignment vertical="center" horizontal="center" wrapText="1"/>
    </xf>
    <xf numFmtId="0" fillId="2" fontId="2" borderId="0" applyAlignment="1">
      <alignment vertical="center" wrapText="1"/>
    </xf>
    <xf numFmtId="0" fillId="0" fontId="1" borderId="0"/>
    <xf numFmtId="0" fillId="0" fontId="3" borderId="0"/>
    <xf numFmtId="0" fillId="0" fontId="3" borderId="0" applyAlignment="1">
      <alignment vertical="center" horizontal="center" wrapText="1"/>
    </xf>
    <xf numFmtId="0" fillId="3" fontId="3" borderId="0"/>
    <xf numFmtId="0" fillId="3" fontId="3" borderId="0" applyAlignment="1">
      <alignment vertical="center" horizontal="center" wrapText="1"/>
    </xf>
    <xf numFmtId="0" fillId="4" fontId="1" borderId="0" applyAlignment="1">
      <alignment vertical="center" horizontal="center" wrapText="1"/>
    </xf>
    <xf numFmtId="0" fillId="4" fontId="1" borderId="0"/>
    <xf numFmtId="49" fillId="0" fontId="3" borderId="0" applyAlignment="1">
      <alignment vertical="center" horizontal="center" wrapText="1"/>
    </xf>
    <xf numFmtId="0" fillId="0" fontId="3" borderId="0" applyAlignment="1">
      <alignment vertical="center" wrapText="1"/>
    </xf>
    <xf numFmtId="164" fillId="0" fontId="3" borderId="0" applyAlignment="1">
      <alignment vertical="center" horizontal="center" wrapText="1"/>
    </xf>
    <xf numFmtId="165" fillId="0" fontId="3" borderId="0" applyAlignment="1">
      <alignment vertical="center" horizontal="center" wrapText="1"/>
    </xf>
    <xf numFmtId="4" fillId="0" fontId="3" borderId="0" applyAlignment="1">
      <alignment vertical="center" horizontal="center" wrapText="1"/>
    </xf>
  </cellXfs>
  <dxfs count="2">
    <dxf>
      <fill>
        <patternFill>
          <bgColor rgb="B6D7A8"/>
        </patternFill>
      </fill>
    </dxf>
    <dxf>
      <fill>
        <patternFill>
          <bgColor rgb="D9EAD3"/>
        </patternFill>
      </fill>
    </dxf>
  </dxfs>
</styleSheet>
</file>

<file path=xl/_rels/workbook.xml.rels><Relationships xmlns="http://schemas.openxmlformats.org/package/2006/relationships">
        
        <Relationship Id="rId1" Target="worksheets/sheet0.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metadata.xml" Type="http://schemas.openxmlformats.org/officeDocument/2006/relationships/sheetMetadata"/>
      
      </Relationships>
</file>

<file path=xl/tables/table1.xml><?xml version="1.0" encoding="utf-8"?>
<table xmlns="http://schemas.openxmlformats.org/spreadsheetml/2006/main" xmlns:xr="http://schemas.microsoft.com/office/spreadsheetml/2014/revision" xmlns:xr3="http://schemas.microsoft.com/office/spreadsheetml/2016/revision3" xmlns:mc="http://schemas.openxmlformats.org/markup-compatibility/2006" id="1" name="Table1" displayName="Table1" ref="A3:V102" headerRowCount="1" totalsRowCount="0">
  <autoFilter ref="A3:V102">
  </autoFilter>
  <tableColumns count="22">
    <tableColumn id="1" name="Fonds"/>
    <tableColumn id="2" name="Typologie"/>
    <tableColumn id="3" name="Entité"/>
    <tableColumn id="4" name="Contact"/>
    <tableColumn id="5" name="Contact Levée"/>
    <tableColumn id="6" name="Commentaire"/>
    <tableColumn id="7" name="Commentaire2"/>
    <tableColumn id="8" name="Commentaire3"/>
    <tableColumn id="9" name="Commentaire4"/>
    <tableColumn id="10" name="Activités"/>
    <tableColumn id="11" name="Étape"/>
    <tableColumn id="12" name="Intérêt"/>
    <tableColumn id="13" name="Date de dernière activité"/>
    <tableColumn id="14" name="Dernière activité"/>
    <tableColumn id="15" name="Date de prochaine activité"/>
    <tableColumn id="16" name="Prochaine activité"/>
    <tableColumn id="17" name="Revenu attendu"/>
    <tableColumn id="18" name="Ticket"/>
    <tableColumn id="19" name="% de Maturation"/>
    <tableColumn id="20" name="Matu."/>
    <tableColumn id="21" name="Tri"/>
    <tableColumn id="22" name="compteur"/>
  </tableColumns>
  <tableStyleInfo name="TableStyleLight9" showFirstColumn="0" showLastColumn="0" showRowStripes="1" showColumnStripes="0"/>
</table>
</file>

<file path=xl/worksheets/_rels/sheet0.xml.rels><Relationships xmlns="http://schemas.openxmlformats.org/package/2006/relationships">
        
        <Relationship Id="rId1" Target="../tables/table1.xml" Type="http://schemas.openxmlformats.org/officeDocument/2006/relationships/table"/>
      
      </Relationships>
</file>

<file path=xl/worksheets/sheet0.xml><?xml version="1.0" encoding="utf-8"?>
<worksheet xmlns="http://schemas.openxmlformats.org/spreadsheetml/2006/main" xmlns:r="http://schemas.openxmlformats.org/officeDocument/2006/relationships">
  <sheetViews>
    <sheetView showGridLines="1" workbookViewId="0">
      <pane ySplit="3" topLeftCell="A4" activePane="bottomLeft" state="frozen"/>
      <selection pane="bottomLeft"/>
    </sheetView>
  </sheetViews>
  <sheetFormatPr defaultRowHeight="17.25" defaultColWidth="13.73"/>
  <cols>
    <col min="1" max="1" width="34.18" customWidth="1" hidden="0"/>
    <col min="2" max="2" width="15.16" customWidth="1" hidden="0"/>
    <col min="3" max="3" width="26.88" customWidth="1" hidden="0"/>
    <col min="4" max="4" width="15.87" customWidth="1" hidden="0"/>
    <col min="5" max="5" width="14.87" customWidth="1" hidden="0"/>
    <col min="6" max="6" width="61.92" customWidth="1" hidden="1"/>
    <col min="7" max="7" width="61.92" customWidth="1" hidden="1"/>
    <col min="8" max="8" width="61.92" customWidth="1" hidden="1"/>
    <col min="9" max="9" width="61.92" customWidth="1" hidden="0"/>
    <col min="10" max="10" width="47.33" customWidth="1" hidden="1"/>
    <col min="11" max="11" width="22.88" customWidth="1" hidden="1"/>
    <col min="12" max="12" width="11.15" customWidth="1" hidden="0"/>
    <col min="13" max="13" width="22.88" customWidth="1" hidden="1"/>
    <col min="14" max="14" width="13.16" customWidth="1" hidden="0"/>
    <col min="15" max="15" width="25.17" customWidth="1" hidden="1"/>
    <col min="16" max="16" width="15.59" customWidth="1" hidden="0"/>
    <col min="17" max="17" width="15.01" customWidth="1" hidden="1"/>
    <col min="18" max="18" width="15.01" customWidth="1" hidden="0"/>
    <col min="19" max="19" width="33.18" customWidth="1" hidden="1"/>
    <col min="20" max="20" width="11.3" customWidth="1" hidden="0"/>
    <col min="21" max="21" width="11.3" customWidth="1" hidden="0"/>
    <col min="22" max="22" width="13.73" customWidth="1" hidden="1"/>
    <col min="23" max="23" width="13.73" customWidth="1" hidden="0"/>
    <col min="24" max="24" width="13.73" customWidth="1" hidden="0"/>
    <col min="25" max="25" width="13.73" customWidth="1" hidden="0"/>
    <col min="26" max="26" width="13.73" customWidth="1" hidden="0"/>
    <col min="27" max="27" width="13.73" customWidth="1" hidden="0"/>
    <col min="28" max="28" width="13.73" customWidth="1" hidden="0"/>
    <col min="29" max="29" width="13.73" customWidth="1" hidden="0"/>
    <col min="30" max="30" width="13.73" customWidth="1" hidden="0"/>
    <col min="31" max="31" width="13.73" customWidth="1" hidden="0"/>
    <col min="32" max="32" width="13.73" customWidth="1" hidden="0"/>
    <col min="33" max="33" width="13.73" customWidth="1" hidden="0"/>
    <col min="34" max="34" width="13.73" customWidth="1" hidden="0"/>
    <col min="35" max="35" width="13.73" customWidth="1" hidden="0"/>
    <col min="36" max="36" width="13.73" customWidth="1" hidden="0"/>
    <col min="37" max="37" width="13.73" customWidth="1" hidden="0"/>
  </cols>
  <sheetData>
    <row r="1" ht="35.25" customHeight="1">
      <c r="A1" s="1">
</c>
      <c r="B1" s="1">
</c>
      <c r="C1" s="1">
</c>
      <c r="D1" s="2">
</c>
      <c r="E1" s="1">
</c>
      <c r="F1" s="1">
</c>
      <c r="G1" s="2">
</c>
      <c r="H1" s="1">
</c>
      <c r="I1" s="3" t="s">
        <v>0</v>
      </c>
      <c r="J1" s="1">
</c>
      <c r="K1" s="1">
</c>
      <c r="L1" s="1">
</c>
      <c r="M1" s="1">
</c>
      <c r="N1" s="3">
</c>
      <c r="O1" s="1">
</c>
      <c r="P1" s="2">
</c>
      <c r="Q1" s="1">
</c>
      <c r="R1" s="1">
</c>
      <c r="S1" s="1">
</c>
      <c r="T1" s="1">
</c>
      <c r="U1" s="2">
</c>
      <c r="V1" s="4">
</c>
      <c r="W1" s="4">
</c>
      <c r="X1" s="4">
</c>
      <c r="Y1" s="4">
</c>
      <c r="Z1" s="4">
</c>
      <c r="AA1" s="4">
</c>
      <c r="AB1" s="4">
</c>
      <c r="AC1" s="4">
</c>
      <c r="AD1" s="4">
</c>
      <c r="AE1" s="4">
</c>
      <c r="AF1" s="4">
</c>
      <c r="AG1" s="4">
</c>
      <c r="AH1" s="4">
</c>
      <c r="AI1" s="4">
</c>
      <c r="AJ1" s="4">
</c>
      <c r="AK1" s="4">
</c>
    </row>
    <row r="2" ht="35.25" customHeight="1">
      <c r="A2" s="5">
</c>
      <c r="B2" s="6">
</c>
      <c r="C2" s="6" cm="1" t="n">
        <f t="array" ref="C2">SUBTOTAL(9,V4:V102)</f>
        <v>70</v>
      </c>
      <c r="D2" s="5">
</c>
      <c r="E2" s="5">
</c>
      <c r="F2" s="5">
</c>
      <c r="G2" s="7">
</c>
      <c r="H2" s="5">
</c>
      <c r="I2" s="5">
</c>
      <c r="J2" s="5">
</c>
      <c r="K2" s="5">
</c>
      <c r="L2" s="5">
</c>
      <c r="M2" s="5">
</c>
      <c r="N2" s="5">
</c>
      <c r="O2" s="5">
</c>
      <c r="P2" s="5">
</c>
      <c r="Q2" s="8" cm="1" t="n">
        <f t="array" ref="Q2">SUBTOTAL(9,Q4:Q202)</f>
        <v>217000</v>
      </c>
      <c r="R2" s="8" cm="1" t="str">
        <f t="array" ref="R2">ROUND(Q2/1000000,3)&amp;" M€"</f>
        <v>0.217 M€</v>
      </c>
      <c r="S2" s="5">
</c>
      <c r="T2" s="5">
</c>
      <c r="U2" s="5">
</c>
      <c r="V2" s="5">
</c>
      <c r="W2" s="5">
</c>
      <c r="X2" s="5">
</c>
      <c r="Y2" s="5">
</c>
      <c r="Z2" s="5">
</c>
      <c r="AA2" s="5">
</c>
      <c r="AB2" s="5">
</c>
      <c r="AC2" s="5">
</c>
      <c r="AD2" s="5">
</c>
      <c r="AE2" s="5">
</c>
      <c r="AF2" s="5">
</c>
      <c r="AG2" s="5">
</c>
      <c r="AH2" s="5">
</c>
      <c r="AI2" s="5">
</c>
      <c r="AJ2" s="5">
</c>
      <c r="AK2" s="5">
</c>
    </row>
    <row r="3" ht="35.25" customHeight="1">
      <c r="A3" s="2" t="s">
        <v>1</v>
      </c>
      <c r="B3" s="2" t="s">
        <v>2</v>
      </c>
      <c r="C3" s="2" t="s">
        <v>3</v>
      </c>
      <c r="D3" s="2" t="s">
        <v>4</v>
      </c>
      <c r="E3" s="2" t="s">
        <v>5</v>
      </c>
      <c r="F3" s="9" t="s">
        <v>6</v>
      </c>
      <c r="G3" s="9" t="s">
        <v>7</v>
      </c>
      <c r="H3" s="9" t="s">
        <v>8</v>
      </c>
      <c r="I3" s="2" t="s">
        <v>9</v>
      </c>
      <c r="J3" s="9" t="s">
        <v>10</v>
      </c>
      <c r="K3" s="9" t="s">
        <v>11</v>
      </c>
      <c r="L3" s="2" t="s">
        <v>12</v>
      </c>
      <c r="M3" s="9" t="s">
        <v>13</v>
      </c>
      <c r="N3" s="2" t="s">
        <v>14</v>
      </c>
      <c r="O3" s="9" t="s">
        <v>15</v>
      </c>
      <c r="P3" s="2" t="s">
        <v>16</v>
      </c>
      <c r="Q3" s="9" t="s">
        <v>17</v>
      </c>
      <c r="R3" s="2" t="s">
        <v>18</v>
      </c>
      <c r="S3" s="9" t="s">
        <v>19</v>
      </c>
      <c r="T3" s="2" t="s">
        <v>20</v>
      </c>
      <c r="U3" s="2" t="s">
        <v>21</v>
      </c>
      <c r="V3" s="10" t="s">
        <v>22</v>
      </c>
      <c r="W3" s="4">
</c>
      <c r="X3" s="4">
</c>
      <c r="Y3" s="4">
</c>
      <c r="Z3" s="4">
</c>
      <c r="AA3" s="4">
</c>
      <c r="AB3" s="4">
</c>
      <c r="AC3" s="4">
</c>
      <c r="AD3" s="4">
</c>
      <c r="AE3" s="4">
</c>
      <c r="AF3" s="4">
</c>
      <c r="AG3" s="4">
</c>
      <c r="AH3" s="4">
</c>
      <c r="AI3" s="4">
</c>
      <c r="AJ3" s="4">
</c>
      <c r="AK3" s="4">
</c>
    </row>
    <row r="4" ht="65.25" customHeight="1">
      <c r="A4" s="6" t="s">
        <v>23</v>
      </c>
      <c r="B4" s="6" t="s">
        <v>24</v>
      </c>
      <c r="C4" s="11" t="s">
        <v>25</v>
      </c>
      <c r="D4" s="11" t="s">
        <v>26</v>
      </c>
      <c r="E4" s="6" t="s">
        <v>27</v>
      </c>
      <c r="F4" s="6" t="s">
        <v>28</v>
      </c>
      <c r="G4" s="6" cm="1" t="str">
        <f t="array" ref="G4">IF(F4="","",SUBSTITUTE(SUBSTITUTE(SUBSTITUTE(SUBSTITUTE(F4,"&lt;li&gt;",CHAR(10)),"&lt;/li&gt;",""),"&lt;br&gt;",CHAR(10)),"&lt;strong&gt;",""))</f>
        <v>&lt;p&gt;RDV 24/03 présentation Audacia/FCPI, clients intéressés défisc, campagne mail prévue 300 clients, tickets 5-20k. Convention signée déc. Relances, mails envoyés, attente retours. Appel 28/04 : pas dispo, recontactera. Pas d'intérêt sur 150 OB ter. Prochaine étape : attendre retour campagne.&lt;/p&gt;</v>
      </c>
      <c r="H4" s="6" cm="1" t="str">
        <f t="array" ref="H4">IF(G4="","",SUBSTITUTE(SUBSTITUTE(SUBSTITUTE(SUBSTITUTE(SUBSTITUTE(G4,"&lt;p&gt;",""),"&lt;/p&gt;",""),"&lt;ul&gt;",""),"&lt;/ul&gt;",""),"&lt;/strong&gt;",""))</f>
        <v>RDV 24/03 présentation Audacia/FCPI, clients intéressés défisc, campagne mail prévue 300 clients, tickets 5-20k. Convention signée déc. Relances, mails envoyés, attente retours. Appel 28/04 : pas dispo, recontactera. Pas d'intérêt sur 150 OB ter. Prochaine étape : attendre retour campagne.</v>
      </c>
      <c r="I4" s="12" cm="1" t="str">
        <f t="array" ref="I4">IF(C4="","",IF(OR(H4="",H4=0,H4=FALSE),"-",H4))</f>
        <v>RDV 24/03 présentation Audacia/FCPI, clients intéressés défisc, campagne mail prévue 300 clients, tickets 5-20k. Convention signée déc. Relances, mails envoyés, attente retours. Appel 28/04 : pas dispo, recontactera. Pas d'intérêt sur 150 OB ter. Prochaine étape : attendre retour campagne.</v>
      </c>
      <c r="J4" s="6">
</c>
      <c r="K4" s="6" t="s">
        <v>29</v>
      </c>
      <c r="L4" s="6" cm="1" t="str">
        <f t="array" ref="L4">IF(C4="","",IF(K4="Mort / Plus rien à faire","KO","OK"))</f>
        <v>OK</v>
      </c>
      <c r="M4" s="13">
        <v>46140.73559027778</v>
      </c>
      <c r="N4" s="13" cm="1" t="n">
        <f t="array" ref="N4">IF(OR(C4="",M4="",M4=0),"",M4)</f>
        <v>46140.73559027778</v>
      </c>
      <c r="O4" s="13">
</c>
      <c r="P4" s="13" cm="1" t="str">
        <f t="array" ref="P4">IF(C4="","",IF(OR(O4="",O4=0),"-",O4))</f>
        <v>-</v>
      </c>
      <c r="Q4" s="14">
        <v>0</v>
      </c>
      <c r="R4" s="6" cm="1" t="str">
        <f t="array" ref="R4">IF(C4="","",ROUND(Q4/1000000,3)&amp;" M€")</f>
        <v>0 M€</v>
      </c>
      <c r="S4" s="15">
        <v>100</v>
      </c>
      <c r="T4" s="6" cm="1" t="str">
        <f t="array" ref="T4">IF(C4="","",SUBSTITUTE(S4,"","")&amp;"%")</f>
        <v>100%</v>
      </c>
      <c r="U4" s="12" cm="1" t="str">
        <f t="array" ref="U4">IF(($N4="")*($P4=""),"",IF(($N4&lt;&gt;"")*($N4&gt;TODAY()-9)*($N4&lt;TODAY()+1)*($P4&lt;&gt;"")*($P4&gt;=TODAY())*($P4&lt;=TODAY()+13),"Semaine passée &amp; à venir",IF(($N4&lt;&gt;"")*($N4&gt;TODAY()-9)*($N4&lt;TODAY()+1),"Semaine passée",IF(($P4&lt;&gt;"")*($P4&gt;=TODAY())*($P4&lt;=TODAY()+13),"À venir","Autre"))))</f>
        <v>Semaine passée</v>
      </c>
      <c r="V4" s="5" cm="1" t="n">
        <f t="array" ref="V4">IF(C4&lt;&gt;"",1,0)</f>
        <v>1</v>
      </c>
      <c r="W4" s="5">
</c>
      <c r="X4" s="5">
</c>
      <c r="Y4" s="5">
</c>
      <c r="Z4" s="5">
</c>
      <c r="AA4" s="5">
</c>
      <c r="AB4" s="5">
</c>
      <c r="AC4" s="5">
</c>
      <c r="AD4" s="5">
</c>
      <c r="AE4" s="5">
</c>
      <c r="AF4" s="5">
</c>
      <c r="AG4" s="5">
</c>
      <c r="AH4" s="5">
</c>
      <c r="AI4" s="5">
</c>
      <c r="AJ4" s="5">
</c>
      <c r="AK4" s="5">
</c>
    </row>
    <row r="5" ht="65.25" customHeight="1">
      <c r="A5" s="6" t="s">
        <v>23</v>
      </c>
      <c r="B5" s="6" t="s">
        <v>24</v>
      </c>
      <c r="C5" s="11" t="s">
        <v>30</v>
      </c>
      <c r="D5" s="11" t="s">
        <v>31</v>
      </c>
      <c r="E5" s="6" t="s">
        <v>27</v>
      </c>
      <c r="F5" s="6" t="s">
        <v>32</v>
      </c>
      <c r="G5" s="6" cm="1" t="str">
        <f t="array" ref="G5">IF(F5="","",SUBSTITUTE(SUBSTITUTE(SUBSTITUTE(SUBSTITUTE(F5,"&lt;li&gt;",CHAR(10)),"&lt;/li&gt;",""),"&lt;br&gt;",CHAR(10)),"&lt;strong&gt;",""))</f>
        <v>&lt;p&gt;Appels 03/03 et 21/04 avec Valentin Giraud&amp;nbsp;: rappel sur FCPI, confirmation absence d'accès client, volonté de garder la relation directe. Accord pour envoi courrier clients sur case fiscale manquante. FCPI ouvert jusqu'à fin 2026, dossiers attendus juin/décembre. Pas d'immobilisation cash hors fiscalité.&lt;/p&gt;</v>
      </c>
      <c r="H5" s="6" cm="1" t="str">
        <f t="array" ref="H5">IF(G5="","",SUBSTITUTE(SUBSTITUTE(SUBSTITUTE(SUBSTITUTE(SUBSTITUTE(G5,"&lt;p&gt;",""),"&lt;/p&gt;",""),"&lt;ul&gt;",""),"&lt;/ul&gt;",""),"&lt;/strong&gt;",""))</f>
        <v>Appels 03/03 et 21/04 avec Valentin Giraud&amp;nbsp;: rappel sur FCPI, confirmation absence d'accès client, volonté de garder la relation directe. Accord pour envoi courrier clients sur case fiscale manquante. FCPI ouvert jusqu'à fin 2026, dossiers attendus juin/décembre. Pas d'immobilisation cash hors fiscalité.</v>
      </c>
      <c r="I5" s="12" cm="1" t="str">
        <f t="array" ref="I5">IF(C5="","",IF(OR(H5="",H5=0,H5=FALSE),"-",H5))</f>
        <v>Appels 03/03 et 21/04 avec Valentin Giraud&amp;nbsp;: rappel sur FCPI, confirmation absence d'accès client, volonté de garder la relation directe. Accord pour envoi courrier clients sur case fiscale manquante. FCPI ouvert jusqu'à fin 2026, dossiers attendus juin/décembre. Pas d'immobilisation cash hors fiscalité.</v>
      </c>
      <c r="J5" s="6">
</c>
      <c r="K5" s="6" t="s">
        <v>29</v>
      </c>
      <c r="L5" s="6" cm="1" t="str">
        <f t="array" ref="L5">IF(C5="","",IF(K5="Mort / Plus rien à faire","KO","OK"))</f>
        <v>OK</v>
      </c>
      <c r="M5" s="13">
        <v>46133.704039351855</v>
      </c>
      <c r="N5" s="13" cm="1" t="n">
        <f t="array" ref="N5">IF(OR(C5="",M5="",M5=0),"",M5)</f>
        <v>46133.704039351855</v>
      </c>
      <c r="O5" s="13">
</c>
      <c r="P5" s="13" cm="1" t="str">
        <f t="array" ref="P5">IF(C5="","",IF(OR(O5="",O5=0),"-",O5))</f>
        <v>-</v>
      </c>
      <c r="Q5" s="14">
        <v>0</v>
      </c>
      <c r="R5" s="6" cm="1" t="str">
        <f t="array" ref="R5">IF(C5="","",ROUND(Q5/1000000,3)&amp;" M€")</f>
        <v>0 M€</v>
      </c>
      <c r="S5" s="15">
        <v>100</v>
      </c>
      <c r="T5" s="6" cm="1" t="str">
        <f t="array" ref="T5">IF(C5="","",SUBSTITUTE(S5,"","")&amp;"%")</f>
        <v>100%</v>
      </c>
      <c r="U5" s="12" cm="1" t="str">
        <f t="array" ref="U5">IF(($N5="")*($P5=""),"",IF(($N5&lt;&gt;"")*($N5&gt;TODAY()-9)*($N5&lt;TODAY()+1)*($P5&lt;&gt;"")*($P5&gt;=TODAY())*($P5&lt;=TODAY()+13),"Semaine passée &amp; à venir",IF(($N5&lt;&gt;"")*($N5&gt;TODAY()-9)*($N5&lt;TODAY()+1),"Semaine passée",IF(($P5&lt;&gt;"")*($P5&gt;=TODAY())*($P5&lt;=TODAY()+13),"À venir","Autre"))))</f>
        <v>Autre</v>
      </c>
      <c r="V5" s="5" cm="1" t="n">
        <f t="array" ref="V5">IF(C5&lt;&gt;"",1,0)</f>
        <v>1</v>
      </c>
      <c r="W5" s="5">
</c>
      <c r="X5" s="5">
</c>
      <c r="Y5" s="5">
</c>
      <c r="Z5" s="12">
</c>
      <c r="AA5" s="5">
</c>
      <c r="AB5" s="5">
</c>
      <c r="AC5" s="5">
</c>
      <c r="AD5" s="5">
</c>
      <c r="AE5" s="5">
</c>
      <c r="AF5" s="5">
</c>
      <c r="AG5" s="5">
</c>
      <c r="AH5" s="5">
</c>
      <c r="AI5" s="5">
</c>
      <c r="AJ5" s="5">
</c>
      <c r="AK5" s="5">
</c>
    </row>
    <row r="6" ht="65.25" customHeight="1">
      <c r="A6" s="6" t="s">
        <v>23</v>
      </c>
      <c r="B6" s="6" t="s">
        <v>24</v>
      </c>
      <c r="C6" s="11" t="s">
        <v>33</v>
      </c>
      <c r="D6" s="11" t="s">
        <v>34</v>
      </c>
      <c r="E6" s="6" t="s">
        <v>35</v>
      </c>
      <c r="F6" s="6" t="s">
        <v>36</v>
      </c>
      <c r="G6" s="6" cm="1" t="str">
        <f t="array" ref="G6">IF(F6="","",SUBSTITUTE(SUBSTITUTE(SUBSTITUTE(SUBSTITUTE(F6,"&lt;li&gt;",CHAR(10)),"&lt;/li&gt;",""),"&lt;br&gt;",CHAR(10)),"&lt;strong&gt;",""))</f>
        <v>&lt;p&gt;Partenaire identifié comme meilleure FCPI, clients souhaitent réinvestir mais souscriptions impossibles pour l’instant, attente côté partenaire. Nouvelle piste créée pour équipe Ventes. Pas d’activité ou d’action récente autre que ce suivi, aucune prochaine étape planifiée à ce jour.&lt;/p&gt;</v>
      </c>
      <c r="H6" s="6" cm="1" t="str">
        <f t="array" ref="H6">IF(G6="","",SUBSTITUTE(SUBSTITUTE(SUBSTITUTE(SUBSTITUTE(SUBSTITUTE(G6,"&lt;p&gt;",""),"&lt;/p&gt;",""),"&lt;ul&gt;",""),"&lt;/ul&gt;",""),"&lt;/strong&gt;",""))</f>
        <v>Partenaire identifié comme meilleure FCPI, clients souhaitent réinvestir mais souscriptions impossibles pour l’instant, attente côté partenaire. Nouvelle piste créée pour équipe Ventes. Pas d’activité ou d’action récente autre que ce suivi, aucune prochaine étape planifiée à ce jour.</v>
      </c>
      <c r="I6" s="12" cm="1" t="str">
        <f t="array" ref="I6">IF(C6="","",IF(OR(H6="",H6=0,H6=FALSE),"-",H6))</f>
        <v>Partenaire identifié comme meilleure FCPI, clients souhaitent réinvestir mais souscriptions impossibles pour l’instant, attente côté partenaire. Nouvelle piste créée pour équipe Ventes. Pas d’activité ou d’action récente autre que ce suivi, aucune prochaine étape planifiée à ce jour.</v>
      </c>
      <c r="J6" s="6">
</c>
      <c r="K6" s="6" t="s">
        <v>29</v>
      </c>
      <c r="L6" s="6" cm="1" t="str">
        <f t="array" ref="L6">IF(C6="","",IF(K6="Mort / Plus rien à faire","KO","OK"))</f>
        <v>OK</v>
      </c>
      <c r="M6" s="13">
        <v>46132.60855324074</v>
      </c>
      <c r="N6" s="13" cm="1" t="n">
        <f t="array" ref="N6">IF(OR(C6="",M6="",M6=0),"",M6)</f>
        <v>46132.60855324074</v>
      </c>
      <c r="O6" s="13">
</c>
      <c r="P6" s="13" cm="1" t="str">
        <f t="array" ref="P6">IF(C6="","",IF(OR(O6="",O6=0),"-",O6))</f>
        <v>-</v>
      </c>
      <c r="Q6" s="14">
        <v>0</v>
      </c>
      <c r="R6" s="6" cm="1" t="str">
        <f t="array" ref="R6">IF(C6="","",ROUND(Q6/1000000,3)&amp;" M€")</f>
        <v>0 M€</v>
      </c>
      <c r="S6" s="15">
        <v>100</v>
      </c>
      <c r="T6" s="6" cm="1" t="str">
        <f t="array" ref="T6">IF(C6="","",SUBSTITUTE(S6,"","")&amp;"%")</f>
        <v>100%</v>
      </c>
      <c r="U6" s="12" cm="1" t="str">
        <f t="array" ref="U6">IF(($N6="")*($P6=""),"",IF(($N6&lt;&gt;"")*($N6&gt;TODAY()-9)*($N6&lt;TODAY()+1)*($P6&lt;&gt;"")*($P6&gt;=TODAY())*($P6&lt;=TODAY()+13),"Semaine passée &amp; à venir",IF(($N6&lt;&gt;"")*($N6&gt;TODAY()-9)*($N6&lt;TODAY()+1),"Semaine passée",IF(($P6&lt;&gt;"")*($P6&gt;=TODAY())*($P6&lt;=TODAY()+13),"À venir","Autre"))))</f>
        <v>Autre</v>
      </c>
      <c r="V6" s="5" cm="1" t="n">
        <f t="array" ref="V6">IF(C6&lt;&gt;"",1,0)</f>
        <v>1</v>
      </c>
      <c r="W6" s="5">
</c>
      <c r="X6" s="5">
</c>
      <c r="Y6" s="5">
</c>
      <c r="Z6" s="5">
</c>
      <c r="AA6" s="5">
</c>
      <c r="AB6" s="5">
</c>
      <c r="AC6" s="5">
</c>
      <c r="AD6" s="5">
</c>
      <c r="AE6" s="5">
</c>
      <c r="AF6" s="5">
</c>
      <c r="AG6" s="5">
</c>
      <c r="AH6" s="5">
</c>
      <c r="AI6" s="5">
</c>
      <c r="AJ6" s="5">
</c>
      <c r="AK6" s="5">
</c>
    </row>
    <row r="7" ht="65.25" customHeight="1">
      <c r="A7" s="6" t="s">
        <v>23</v>
      </c>
      <c r="B7" s="6" t="s">
        <v>24</v>
      </c>
      <c r="C7" s="11" t="s">
        <v>37</v>
      </c>
      <c r="D7" s="11" t="s">
        <v>38</v>
      </c>
      <c r="E7" s="6" t="s">
        <v>27</v>
      </c>
      <c r="F7" s="6" t="s">
        <v>39</v>
      </c>
      <c r="G7" s="6" cm="1" t="str">
        <f t="array" ref="G7">IF(F7="","",SUBSTITUTE(SUBSTITUTE(SUBSTITUTE(SUBSTITUTE(F7,"&lt;li&gt;",CHAR(10)),"&lt;/li&gt;",""),"&lt;br&gt;",CHAR(10)),"&lt;strong&gt;",""))</f>
        <v>&lt;p&gt;Appels 21/04&amp;nbsp;: info déclaration FCPI, oubli case fiscale, envoi courrier clients validé par Benoit, remerciements. Déc 2025&amp;nbsp;: demande infos FCPI Audacia, envoi Deck/convention, convention signée. Benoit&amp;nbsp;: 80 clients, forte demande FCPI, souhaite élargir offre. Prochaine étape&amp;nbsp;: suivi envois clients.&lt;/p&gt;</v>
      </c>
      <c r="H7" s="6" cm="1" t="str">
        <f t="array" ref="H7">IF(G7="","",SUBSTITUTE(SUBSTITUTE(SUBSTITUTE(SUBSTITUTE(SUBSTITUTE(G7,"&lt;p&gt;",""),"&lt;/p&gt;",""),"&lt;ul&gt;",""),"&lt;/ul&gt;",""),"&lt;/strong&gt;",""))</f>
        <v>Appels 21/04&amp;nbsp;: info déclaration FCPI, oubli case fiscale, envoi courrier clients validé par Benoit, remerciements. Déc 2025&amp;nbsp;: demande infos FCPI Audacia, envoi Deck/convention, convention signée. Benoit&amp;nbsp;: 80 clients, forte demande FCPI, souhaite élargir offre. Prochaine étape&amp;nbsp;: suivi envois clients.</v>
      </c>
      <c r="I7" s="12" cm="1" t="str">
        <f t="array" ref="I7">IF(C7="","",IF(OR(H7="",H7=0,H7=FALSE),"-",H7))</f>
        <v>Appels 21/04&amp;nbsp;: info déclaration FCPI, oubli case fiscale, envoi courrier clients validé par Benoit, remerciements. Déc 2025&amp;nbsp;: demande infos FCPI Audacia, envoi Deck/convention, convention signée. Benoit&amp;nbsp;: 80 clients, forte demande FCPI, souhaite élargir offre. Prochaine étape&amp;nbsp;: suivi envois clients.</v>
      </c>
      <c r="J7" s="6">
</c>
      <c r="K7" s="6" t="s">
        <v>29</v>
      </c>
      <c r="L7" s="6" cm="1" t="str">
        <f t="array" ref="L7">IF(C7="","",IF(K7="Mort / Plus rien à faire","KO","OK"))</f>
        <v>OK</v>
      </c>
      <c r="M7" s="13">
        <v>46133.7046875</v>
      </c>
      <c r="N7" s="13" cm="1" t="n">
        <f t="array" ref="N7">IF(OR(C7="",M7="",M7=0),"",M7)</f>
        <v>46133.7046875</v>
      </c>
      <c r="O7" s="13">
</c>
      <c r="P7" s="13" cm="1" t="str">
        <f t="array" ref="P7">IF(C7="","",IF(OR(O7="",O7=0),"-",O7))</f>
        <v>-</v>
      </c>
      <c r="Q7" s="14">
        <v>0</v>
      </c>
      <c r="R7" s="6" cm="1" t="str">
        <f t="array" ref="R7">IF(C7="","",ROUND(Q7/1000000,3)&amp;" M€")</f>
        <v>0 M€</v>
      </c>
      <c r="S7" s="15">
        <v>100</v>
      </c>
      <c r="T7" s="6" cm="1" t="str">
        <f t="array" ref="T7">IF(C7="","",SUBSTITUTE(S7,"","")&amp;"%")</f>
        <v>100%</v>
      </c>
      <c r="U7" s="12" cm="1" t="str">
        <f t="array" ref="U7">IF(($N7="")*($P7=""),"",IF(($N7&lt;&gt;"")*($N7&gt;TODAY()-9)*($N7&lt;TODAY()+1)*($P7&lt;&gt;"")*($P7&gt;=TODAY())*($P7&lt;=TODAY()+13),"Semaine passée &amp; à venir",IF(($N7&lt;&gt;"")*($N7&gt;TODAY()-9)*($N7&lt;TODAY()+1),"Semaine passée",IF(($P7&lt;&gt;"")*($P7&gt;=TODAY())*($P7&lt;=TODAY()+13),"À venir","Autre"))))</f>
        <v>Autre</v>
      </c>
      <c r="V7" s="5" cm="1" t="n">
        <f t="array" ref="V7">IF(C7&lt;&gt;"",1,0)</f>
        <v>1</v>
      </c>
      <c r="W7" s="5">
</c>
      <c r="X7" s="5">
</c>
      <c r="Y7" s="5">
</c>
      <c r="Z7" s="5">
</c>
      <c r="AA7" s="5">
</c>
      <c r="AB7" s="5">
</c>
      <c r="AC7" s="5">
</c>
      <c r="AD7" s="5">
</c>
      <c r="AE7" s="5">
</c>
      <c r="AF7" s="5">
</c>
      <c r="AG7" s="5">
</c>
      <c r="AH7" s="5">
</c>
      <c r="AI7" s="5">
</c>
      <c r="AJ7" s="5">
</c>
      <c r="AK7" s="5">
</c>
    </row>
    <row r="8" ht="65.25" customHeight="1">
      <c r="A8" s="6" t="s">
        <v>23</v>
      </c>
      <c r="B8" s="6" t="s">
        <v>40</v>
      </c>
      <c r="C8" s="11" t="s">
        <v>41</v>
      </c>
      <c r="D8" s="11" t="s">
        <v>41</v>
      </c>
      <c r="E8" s="6" t="s">
        <v>35</v>
      </c>
      <c r="F8" s="6" t="s">
        <v>42</v>
      </c>
      <c r="G8" s="6" cm="1" t="str">
        <f t="array" ref="G8">IF(F8="","",SUBSTITUTE(SUBSTITUTE(SUBSTITUTE(SUBSTITUTE(F8,"&lt;li&gt;",CHAR(10)),"&lt;/li&gt;",""),"&lt;br&gt;",CHAR(10)),"&lt;strong&gt;",""))</f>
        <v>&lt;p&gt;Aucune activité menée sur le prospect. Seule information : une nouvelle piste a été créée pour l'équipe Ventes. Pas d'échanges, pas de retours, pas d'actions ou de prochaines étapes identifiées à ce jour. Aucun retour prospect ni mention de fonds présentés ou d'avis exprimés.&lt;/p&gt;</v>
      </c>
      <c r="H8" s="6" cm="1" t="str">
        <f t="array" ref="H8">IF(G8="","",SUBSTITUTE(SUBSTITUTE(SUBSTITUTE(SUBSTITUTE(SUBSTITUTE(G8,"&lt;p&gt;",""),"&lt;/p&gt;",""),"&lt;ul&gt;",""),"&lt;/ul&gt;",""),"&lt;/strong&gt;",""))</f>
        <v>Aucune activité menée sur le prospect. Seule information : une nouvelle piste a été créée pour l'équipe Ventes. Pas d'échanges, pas de retours, pas d'actions ou de prochaines étapes identifiées à ce jour. Aucun retour prospect ni mention de fonds présentés ou d'avis exprimés.</v>
      </c>
      <c r="I8" s="12" cm="1" t="str">
        <f t="array" ref="I8">IF(C8="","",IF(OR(H8="",H8=0,H8=FALSE),"-",H8))</f>
        <v>Aucune activité menée sur le prospect. Seule information : une nouvelle piste a été créée pour l'équipe Ventes. Pas d'échanges, pas de retours, pas d'actions ou de prochaines étapes identifiées à ce jour. Aucun retour prospect ni mention de fonds présentés ou d'avis exprimés.</v>
      </c>
      <c r="J8" s="6">
</c>
      <c r="K8" s="6" t="s">
        <v>29</v>
      </c>
      <c r="L8" s="6" cm="1" t="str">
        <f t="array" ref="L8">IF(C8="","",IF(K8="Mort / Plus rien à faire","KO","OK"))</f>
        <v>OK</v>
      </c>
      <c r="M8" s="13">
        <v>46063.50226851852</v>
      </c>
      <c r="N8" s="13" cm="1" t="n">
        <f t="array" ref="N8">IF(OR(C8="",M8="",M8=0),"",M8)</f>
        <v>46063.50226851852</v>
      </c>
      <c r="O8" s="13">
</c>
      <c r="P8" s="13" cm="1" t="str">
        <f t="array" ref="P8">IF(C8="","",IF(OR(O8="",O8=0),"-",O8))</f>
        <v>-</v>
      </c>
      <c r="Q8" s="14">
        <v>5000</v>
      </c>
      <c r="R8" s="6" cm="1" t="str">
        <f t="array" ref="R8">IF(C8="","",ROUND(Q8/1000000,3)&amp;" M€")</f>
        <v>0.005 M€</v>
      </c>
      <c r="S8" s="15">
        <v>100</v>
      </c>
      <c r="T8" s="6" cm="1" t="str">
        <f t="array" ref="T8">IF(C8="","",SUBSTITUTE(S8,"","")&amp;"%")</f>
        <v>100%</v>
      </c>
      <c r="U8" s="12" cm="1" t="str">
        <f t="array" ref="U8">IF(($N8="")*($P8=""),"",IF(($N8&lt;&gt;"")*($N8&gt;TODAY()-9)*($N8&lt;TODAY()+1)*($P8&lt;&gt;"")*($P8&gt;=TODAY())*($P8&lt;=TODAY()+13),"Semaine passée &amp; à venir",IF(($N8&lt;&gt;"")*($N8&gt;TODAY()-9)*($N8&lt;TODAY()+1),"Semaine passée",IF(($P8&lt;&gt;"")*($P8&gt;=TODAY())*($P8&lt;=TODAY()+13),"À venir","Autre"))))</f>
        <v>Autre</v>
      </c>
      <c r="V8" s="5" cm="1" t="n">
        <f t="array" ref="V8">IF(C8&lt;&gt;"",1,0)</f>
        <v>1</v>
      </c>
      <c r="W8" s="5">
</c>
      <c r="X8" s="5">
</c>
      <c r="Y8" s="5">
</c>
      <c r="Z8" s="5">
</c>
      <c r="AA8" s="5">
</c>
      <c r="AB8" s="5">
</c>
      <c r="AC8" s="5">
</c>
      <c r="AD8" s="5">
</c>
      <c r="AE8" s="5">
</c>
      <c r="AF8" s="5">
</c>
      <c r="AG8" s="5">
</c>
      <c r="AH8" s="5">
</c>
      <c r="AI8" s="5">
</c>
      <c r="AJ8" s="5">
</c>
      <c r="AK8" s="5">
</c>
    </row>
    <row r="9" ht="65.25" customHeight="1">
      <c r="A9" s="6" t="s">
        <v>23</v>
      </c>
      <c r="B9" s="6" t="s">
        <v>40</v>
      </c>
      <c r="C9" s="11" t="s">
        <v>43</v>
      </c>
      <c r="D9" s="11" t="s">
        <v>43</v>
      </c>
      <c r="E9" s="6" t="s">
        <v>44</v>
      </c>
      <c r="F9" s="6" t="s">
        <v>45</v>
      </c>
      <c r="G9" s="6" cm="1" t="str">
        <f t="array" ref="G9">IF(F9="","",SUBSTITUTE(SUBSTITUTE(SUBSTITUTE(SUBSTITUTE(F9,"&lt;li&gt;",CHAR(10)),"&lt;/li&gt;",""),"&lt;br&gt;",CHAR(10)),"&lt;strong&gt;",""))</f>
        <v>&lt;p&gt;Piste créée pour équipe Ventes le 16/03. Lead enrichi sans données société trouvées (16/03). Mention "Lead de CB" (23/03). Aucun échange, action ou retour prospect identifié depuis. Pas d'activité, pas de prochaine étape connue. Aucun avis prospect sur fonds présenté.&lt;/p&gt;</v>
      </c>
      <c r="H9" s="6" cm="1" t="str">
        <f t="array" ref="H9">IF(G9="","",SUBSTITUTE(SUBSTITUTE(SUBSTITUTE(SUBSTITUTE(SUBSTITUTE(G9,"&lt;p&gt;",""),"&lt;/p&gt;",""),"&lt;ul&gt;",""),"&lt;/ul&gt;",""),"&lt;/strong&gt;",""))</f>
        <v>Piste créée pour équipe Ventes le 16/03. Lead enrichi sans données société trouvées (16/03). Mention "Lead de CB" (23/03). Aucun échange, action ou retour prospect identifié depuis. Pas d'activité, pas de prochaine étape connue. Aucun avis prospect sur fonds présenté.</v>
      </c>
      <c r="I9" s="12" cm="1" t="str">
        <f t="array" ref="I9">IF(C9="","",IF(OR(H9="",H9=0,H9=FALSE),"-",H9))</f>
        <v>Piste créée pour équipe Ventes le 16/03. Lead enrichi sans données société trouvées (16/03). Mention "Lead de CB" (23/03). Aucun échange, action ou retour prospect identifié depuis. Pas d'activité, pas de prochaine étape connue. Aucun avis prospect sur fonds présenté.</v>
      </c>
      <c r="J9" s="6">
</c>
      <c r="K9" s="6" t="s">
        <v>46</v>
      </c>
      <c r="L9" s="6" cm="1" t="str">
        <f t="array" ref="L9">IF(C9="","",IF(K9="Mort / Plus rien à faire","KO","OK"))</f>
        <v>OK</v>
      </c>
      <c r="M9" s="13">
        <v>46125.59074074074</v>
      </c>
      <c r="N9" s="13" cm="1" t="n">
        <f t="array" ref="N9">IF(OR(C9="",M9="",M9=0),"",M9)</f>
        <v>46125.59074074074</v>
      </c>
      <c r="O9" s="13">
</c>
      <c r="P9" s="13" cm="1" t="str">
        <f t="array" ref="P9">IF(C9="","",IF(OR(O9="",O9=0),"-",O9))</f>
        <v>-</v>
      </c>
      <c r="Q9" s="14">
        <v>100000</v>
      </c>
      <c r="R9" s="6" cm="1" t="str">
        <f t="array" ref="R9">IF(C9="","",ROUND(Q9/1000000,3)&amp;" M€")</f>
        <v>0.1 M€</v>
      </c>
      <c r="S9" s="15">
        <v>50</v>
      </c>
      <c r="T9" s="6" cm="1" t="str">
        <f t="array" ref="T9">IF(C9="","",SUBSTITUTE(S9,"","")&amp;"%")</f>
        <v>50%</v>
      </c>
      <c r="U9" s="12" cm="1" t="str">
        <f t="array" ref="U9">IF(($N9="")*($P9=""),"",IF(($N9&lt;&gt;"")*($N9&gt;TODAY()-9)*($N9&lt;TODAY()+1)*($P9&lt;&gt;"")*($P9&gt;=TODAY())*($P9&lt;=TODAY()+13),"Semaine passée &amp; à venir",IF(($N9&lt;&gt;"")*($N9&gt;TODAY()-9)*($N9&lt;TODAY()+1),"Semaine passée",IF(($P9&lt;&gt;"")*($P9&gt;=TODAY())*($P9&lt;=TODAY()+13),"À venir","Autre"))))</f>
        <v>Autre</v>
      </c>
      <c r="V9" s="5" cm="1" t="n">
        <f t="array" ref="V9">IF(C9&lt;&gt;"",1,0)</f>
        <v>1</v>
      </c>
      <c r="W9" s="5">
</c>
      <c r="X9" s="5">
</c>
      <c r="Y9" s="5">
</c>
      <c r="Z9" s="5">
</c>
      <c r="AA9" s="5">
</c>
      <c r="AB9" s="5">
</c>
      <c r="AC9" s="5">
</c>
      <c r="AD9" s="5">
</c>
      <c r="AE9" s="5">
</c>
      <c r="AF9" s="5">
</c>
      <c r="AG9" s="5">
</c>
      <c r="AH9" s="5">
</c>
      <c r="AI9" s="5">
</c>
      <c r="AJ9" s="5">
</c>
      <c r="AK9" s="5">
</c>
    </row>
    <row r="10" ht="65.25" customHeight="1">
      <c r="A10" s="6" t="s">
        <v>23</v>
      </c>
      <c r="B10" s="6" t="s">
        <v>40</v>
      </c>
      <c r="C10" s="11" t="s">
        <v>47</v>
      </c>
      <c r="D10" s="11" t="s">
        <v>47</v>
      </c>
      <c r="E10" s="6" t="s">
        <v>44</v>
      </c>
      <c r="F10" s="6" t="s">
        <v>48</v>
      </c>
      <c r="G10" s="6" cm="1" t="str">
        <f t="array" ref="G10">IF(F10="","",SUBSTITUTE(SUBSTITUTE(SUBSTITUTE(SUBSTITUTE(F10,"&lt;li&gt;",CHAR(10)),"&lt;/li&gt;",""),"&lt;br&gt;",CHAR(10)),"&lt;strong&gt;",""))</f>
        <v>&lt;p&gt;Piste créée pour équipe Ventes le 16/03, enrichissement tenté sans données société trouvées, lead identifié comme CB le 23/03. Aucun échange, action ou retour prospect depuis. Pas d'activité ni prochaine étape identifiée à ce jour.&lt;/p&gt;</v>
      </c>
      <c r="H10" s="6" cm="1" t="str">
        <f t="array" ref="H10">IF(G10="","",SUBSTITUTE(SUBSTITUTE(SUBSTITUTE(SUBSTITUTE(SUBSTITUTE(G10,"&lt;p&gt;",""),"&lt;/p&gt;",""),"&lt;ul&gt;",""),"&lt;/ul&gt;",""),"&lt;/strong&gt;",""))</f>
        <v>Piste créée pour équipe Ventes le 16/03, enrichissement tenté sans données société trouvées, lead identifié comme CB le 23/03. Aucun échange, action ou retour prospect depuis. Pas d'activité ni prochaine étape identifiée à ce jour.</v>
      </c>
      <c r="I10" s="12" cm="1" t="str">
        <f t="array" ref="I10">IF(C10="","",IF(OR(H10="",H10=0,H10=FALSE),"-",H10))</f>
        <v>Piste créée pour équipe Ventes le 16/03, enrichissement tenté sans données société trouvées, lead identifié comme CB le 23/03. Aucun échange, action ou retour prospect depuis. Pas d'activité ni prochaine étape identifiée à ce jour.</v>
      </c>
      <c r="J10" s="6">
</c>
      <c r="K10" s="6" t="s">
        <v>46</v>
      </c>
      <c r="L10" s="6" cm="1" t="str">
        <f t="array" ref="L10">IF(C10="","",IF(K10="Mort / Plus rien à faire","KO","OK"))</f>
        <v>OK</v>
      </c>
      <c r="M10" s="13">
        <v>46125.64271990741</v>
      </c>
      <c r="N10" s="13" cm="1" t="n">
        <f t="array" ref="N10">IF(OR(C10="",M10="",M10=0),"",M10)</f>
        <v>46125.64271990741</v>
      </c>
      <c r="O10" s="13">
</c>
      <c r="P10" s="13" cm="1" t="str">
        <f t="array" ref="P10">IF(C10="","",IF(OR(O10="",O10=0),"-",O10))</f>
        <v>-</v>
      </c>
      <c r="Q10" s="14">
        <v>0</v>
      </c>
      <c r="R10" s="6" cm="1" t="str">
        <f t="array" ref="R10">IF(C10="","",ROUND(Q10/1000000,3)&amp;" M€")</f>
        <v>0 M€</v>
      </c>
      <c r="S10" s="15">
        <v>50</v>
      </c>
      <c r="T10" s="6" cm="1" t="str">
        <f t="array" ref="T10">IF(C10="","",SUBSTITUTE(S10,"","")&amp;"%")</f>
        <v>50%</v>
      </c>
      <c r="U10" s="12" cm="1" t="str">
        <f t="array" ref="U10">IF(($N10="")*($P10=""),"",IF(($N10&lt;&gt;"")*($N10&gt;TODAY()-9)*($N10&lt;TODAY()+1)*($P10&lt;&gt;"")*($P10&gt;=TODAY())*($P10&lt;=TODAY()+13),"Semaine passée &amp; à venir",IF(($N10&lt;&gt;"")*($N10&gt;TODAY()-9)*($N10&lt;TODAY()+1),"Semaine passée",IF(($P10&lt;&gt;"")*($P10&gt;=TODAY())*($P10&lt;=TODAY()+13),"À venir","Autre"))))</f>
        <v>Autre</v>
      </c>
      <c r="V10" s="5" cm="1" t="n">
        <f t="array" ref="V10">IF(C10&lt;&gt;"",1,0)</f>
        <v>1</v>
      </c>
      <c r="W10" s="5">
</c>
      <c r="X10" s="5">
</c>
      <c r="Y10" s="5">
</c>
      <c r="Z10" s="5">
</c>
      <c r="AA10" s="5">
</c>
      <c r="AB10" s="5">
</c>
      <c r="AC10" s="5">
</c>
      <c r="AD10" s="5">
</c>
      <c r="AE10" s="5">
</c>
      <c r="AF10" s="5">
</c>
      <c r="AG10" s="5">
</c>
      <c r="AH10" s="5">
</c>
      <c r="AI10" s="5">
</c>
      <c r="AJ10" s="5">
</c>
      <c r="AK10" s="5">
</c>
    </row>
    <row r="11" ht="65.25" customHeight="1">
      <c r="A11" s="6" t="s">
        <v>23</v>
      </c>
      <c r="B11" s="6" t="s">
        <v>24</v>
      </c>
      <c r="C11" s="11" t="s">
        <v>49</v>
      </c>
      <c r="D11" s="11" t="s">
        <v>50</v>
      </c>
      <c r="E11" s="6" t="s">
        <v>27</v>
      </c>
      <c r="F11" s="6" t="s">
        <v>51</v>
      </c>
      <c r="G11" s="6" cm="1" t="str">
        <f t="array" ref="G11">IF(F11="","",SUBSTITUTE(SUBSTITUTE(SUBSTITUTE(SUBSTITUTE(F11,"&lt;li&gt;",CHAR(10)),"&lt;/li&gt;",""),"&lt;br&gt;",CHAR(10)),"&lt;strong&gt;",""))</f>
        <v>&lt;p&gt;Cold call 25/02, intérêt confirmé, RDV fixé. 17/03 visio FCPI Capital Innovation: prospect intéressé, veut infos régulières, focus sur sous-jacents, défisc prioritaire pour clients. Mail envoyé avec docs, relance pour 2nd RDV avec Cédric et convention. Prochaine étape: organiser RDV début mai.&lt;/p&gt;</v>
      </c>
      <c r="H11" s="6" cm="1" t="str">
        <f t="array" ref="H11">IF(G11="","",SUBSTITUTE(SUBSTITUTE(SUBSTITUTE(SUBSTITUTE(SUBSTITUTE(G11,"&lt;p&gt;",""),"&lt;/p&gt;",""),"&lt;ul&gt;",""),"&lt;/ul&gt;",""),"&lt;/strong&gt;",""))</f>
        <v>Cold call 25/02, intérêt confirmé, RDV fixé. 17/03 visio FCPI Capital Innovation: prospect intéressé, veut infos régulières, focus sur sous-jacents, défisc prioritaire pour clients. Mail envoyé avec docs, relance pour 2nd RDV avec Cédric et convention. Prochaine étape: organiser RDV début mai.</v>
      </c>
      <c r="I11" s="12" cm="1" t="str">
        <f t="array" ref="I11">IF(C11="","",IF(OR(H11="",H11=0,H11=FALSE),"-",H11))</f>
        <v>Cold call 25/02, intérêt confirmé, RDV fixé. 17/03 visio FCPI Capital Innovation: prospect intéressé, veut infos régulières, focus sur sous-jacents, défisc prioritaire pour clients. Mail envoyé avec docs, relance pour 2nd RDV avec Cédric et convention. Prochaine étape: organiser RDV début mai.</v>
      </c>
      <c r="J11" s="6" t="s">
        <v>52</v>
      </c>
      <c r="K11" s="6" t="s">
        <v>53</v>
      </c>
      <c r="L11" s="6" cm="1" t="str">
        <f t="array" ref="L11">IF(C11="","",IF(K11="Mort / Plus rien à faire","KO","OK"))</f>
        <v>OK</v>
      </c>
      <c r="M11" s="13">
        <v>46132.609606481485</v>
      </c>
      <c r="N11" s="13" cm="1" t="n">
        <f t="array" ref="N11">IF(OR(C11="",M11="",M11=0),"",M11)</f>
        <v>46132.609606481485</v>
      </c>
      <c r="O11" s="13">
        <v>46153.041666666664</v>
      </c>
      <c r="P11" s="13" cm="1" t="n">
        <f t="array" ref="P11">IF(C11="","",IF(OR(O11="",O11=0),"-",O11))</f>
        <v>46153.041666666664</v>
      </c>
      <c r="Q11" s="14">
        <v>0</v>
      </c>
      <c r="R11" s="6" cm="1" t="str">
        <f t="array" ref="R11">IF(C11="","",ROUND(Q11/1000000,3)&amp;" M€")</f>
        <v>0 M€</v>
      </c>
      <c r="S11" s="15">
        <v>50</v>
      </c>
      <c r="T11" s="6" cm="1" t="str">
        <f t="array" ref="T11">IF(C11="","",SUBSTITUTE(S11,"","")&amp;"%")</f>
        <v>50%</v>
      </c>
      <c r="U11" s="12" cm="1" t="str">
        <f t="array" ref="U11">IF(($N11="")*($P11=""),"",IF(($N11&lt;&gt;"")*($N11&gt;TODAY()-9)*($N11&lt;TODAY()+1)*($P11&lt;&gt;"")*($P11&gt;=TODAY())*($P11&lt;=TODAY()+13),"Semaine passée &amp; à venir",IF(($N11&lt;&gt;"")*($N11&gt;TODAY()-9)*($N11&lt;TODAY()+1),"Semaine passée",IF(($P11&lt;&gt;"")*($P11&gt;=TODAY())*($P11&lt;=TODAY()+13),"À venir","Autre"))))</f>
        <v>À venir</v>
      </c>
      <c r="V11" s="5" cm="1" t="n">
        <f t="array" ref="V11">IF(C11&lt;&gt;"",1,0)</f>
        <v>1</v>
      </c>
      <c r="W11" s="5">
</c>
      <c r="X11" s="5">
</c>
      <c r="Y11" s="5">
</c>
      <c r="Z11" s="5">
</c>
      <c r="AA11" s="5">
</c>
      <c r="AB11" s="5">
</c>
      <c r="AC11" s="5">
</c>
      <c r="AD11" s="5">
</c>
      <c r="AE11" s="5">
</c>
      <c r="AF11" s="5">
</c>
      <c r="AG11" s="5">
</c>
      <c r="AH11" s="5">
</c>
      <c r="AI11" s="5">
</c>
      <c r="AJ11" s="5">
</c>
      <c r="AK11" s="5">
</c>
    </row>
    <row r="12" ht="65.25" customHeight="1">
      <c r="A12" s="6" t="s">
        <v>23</v>
      </c>
      <c r="B12" s="6" t="s">
        <v>24</v>
      </c>
      <c r="C12" s="11" t="s">
        <v>54</v>
      </c>
      <c r="D12" s="11" t="s">
        <v>55</v>
      </c>
      <c r="E12" s="6" t="s">
        <v>56</v>
      </c>
      <c r="F12" s="6" t="s">
        <v>57</v>
      </c>
      <c r="G12" s="6" cm="1" t="str">
        <f t="array" ref="G12">IF(F12="","",SUBSTITUTE(SUBSTITUTE(SUBSTITUTE(SUBSTITUTE(F12,"&lt;li&gt;",CHAR(10)),"&lt;/li&gt;",""),"&lt;br&gt;",CHAR(10)),"&lt;strong&gt;",""))</f>
        <v>&lt;p&gt;RDV physique 23/03 avec Pierre Massart (Intencial). CR : fusion ALFEIS/INTENTIAL, digitalisation à venir, focus PE/SCPI, due diligence prévue début mai/juin, attente éléments pour comité validation. Convention distribution à finaliser, digitalisation optionnelle, envoi prospectus/DIC à prévoir. Pas de comité en avril.&lt;/p&gt;</v>
      </c>
      <c r="H12" s="6" cm="1" t="str">
        <f t="array" ref="H12">IF(G12="","",SUBSTITUTE(SUBSTITUTE(SUBSTITUTE(SUBSTITUTE(SUBSTITUTE(G12,"&lt;p&gt;",""),"&lt;/p&gt;",""),"&lt;ul&gt;",""),"&lt;/ul&gt;",""),"&lt;/strong&gt;",""))</f>
        <v>RDV physique 23/03 avec Pierre Massart (Intencial). CR : fusion ALFEIS/INTENTIAL, digitalisation à venir, focus PE/SCPI, due diligence prévue début mai/juin, attente éléments pour comité validation. Convention distribution à finaliser, digitalisation optionnelle, envoi prospectus/DIC à prévoir. Pas de comité en avril.</v>
      </c>
      <c r="I12" s="12" cm="1" t="str">
        <f t="array" ref="I12">IF(C12="","",IF(OR(H12="",H12=0,H12=FALSE),"-",H12))</f>
        <v>RDV physique 23/03 avec Pierre Massart (Intencial). CR : fusion ALFEIS/INTENTIAL, digitalisation à venir, focus PE/SCPI, due diligence prévue début mai/juin, attente éléments pour comité validation. Convention distribution à finaliser, digitalisation optionnelle, envoi prospectus/DIC à prévoir. Pas de comité en avril.</v>
      </c>
      <c r="J12" s="6" t="s">
        <v>58</v>
      </c>
      <c r="K12" s="6" t="s">
        <v>53</v>
      </c>
      <c r="L12" s="6" cm="1" t="str">
        <f t="array" ref="L12">IF(C12="","",IF(K12="Mort / Plus rien à faire","KO","OK"))</f>
        <v>OK</v>
      </c>
      <c r="M12" s="13">
        <v>46132.61047453704</v>
      </c>
      <c r="N12" s="13" cm="1" t="n">
        <f t="array" ref="N12">IF(OR(C12="",M12="",M12=0),"",M12)</f>
        <v>46132.61047453704</v>
      </c>
      <c r="O12" s="13">
</c>
      <c r="P12" s="13" cm="1" t="str">
        <f t="array" ref="P12">IF(C12="","",IF(OR(O12="",O12=0),"-",O12))</f>
        <v>-</v>
      </c>
      <c r="Q12" s="14">
        <v>0</v>
      </c>
      <c r="R12" s="6" cm="1" t="str">
        <f t="array" ref="R12">IF(C12="","",ROUND(Q12/1000000,3)&amp;" M€")</f>
        <v>0 M€</v>
      </c>
      <c r="S12" s="15">
        <v>50</v>
      </c>
      <c r="T12" s="6" cm="1" t="str">
        <f t="array" ref="T12">IF(C12="","",SUBSTITUTE(S12,"","")&amp;"%")</f>
        <v>50%</v>
      </c>
      <c r="U12" s="12" cm="1" t="str">
        <f t="array" ref="U12">IF(($N12="")*($P12=""),"",IF(($N12&lt;&gt;"")*($N12&gt;TODAY()-9)*($N12&lt;TODAY()+1)*($P12&lt;&gt;"")*($P12&gt;=TODAY())*($P12&lt;=TODAY()+13),"Semaine passée &amp; à venir",IF(($N12&lt;&gt;"")*($N12&gt;TODAY()-9)*($N12&lt;TODAY()+1),"Semaine passée",IF(($P12&lt;&gt;"")*($P12&gt;=TODAY())*($P12&lt;=TODAY()+13),"À venir","Autre"))))</f>
        <v>Autre</v>
      </c>
      <c r="V12" s="5" cm="1" t="n">
        <f t="array" ref="V12">IF(C12&lt;&gt;"",1,0)</f>
        <v>1</v>
      </c>
      <c r="W12" s="5">
</c>
      <c r="X12" s="5">
</c>
      <c r="Y12" s="5">
</c>
      <c r="Z12" s="5">
</c>
      <c r="AA12" s="5">
</c>
      <c r="AB12" s="5">
</c>
      <c r="AC12" s="5">
</c>
      <c r="AD12" s="5">
</c>
      <c r="AE12" s="5">
</c>
      <c r="AF12" s="5">
</c>
      <c r="AG12" s="5">
</c>
      <c r="AH12" s="5">
</c>
      <c r="AI12" s="5">
</c>
      <c r="AJ12" s="5">
</c>
      <c r="AK12" s="5">
</c>
    </row>
    <row r="13" ht="65.25" customHeight="1">
      <c r="A13" s="6" t="s">
        <v>23</v>
      </c>
      <c r="B13" s="6" t="s">
        <v>24</v>
      </c>
      <c r="C13" s="11" t="s">
        <v>59</v>
      </c>
      <c r="D13" s="11" t="s">
        <v>60</v>
      </c>
      <c r="E13" s="6" t="s">
        <v>27</v>
      </c>
      <c r="F13" s="6" t="s">
        <v>61</v>
      </c>
      <c r="G13" s="6" cm="1" t="str">
        <f t="array" ref="G13">IF(F13="","",SUBSTITUTE(SUBSTITUTE(SUBSTITUTE(SUBSTITUTE(F13,"&lt;li&gt;",CHAR(10)),"&lt;/li&gt;",""),"&lt;br&gt;",CHAR(10)),"&lt;strong&gt;",""))</f>
        <v>&lt;p&gt;Rencontre Salon Next Gen Patrimoine 16/04, prospect Axel intéressé par offre pour petits clients. Présentation cabinet, 10m€ encours, 4m€ diversification. Envoi brochure FCPI, visio 22/04, décision de commercialiser à partir de septembre. Convention et liste KYD adressées, attente signature.&lt;/p&gt;</v>
      </c>
      <c r="H13" s="6" cm="1" t="str">
        <f t="array" ref="H13">IF(G13="","",SUBSTITUTE(SUBSTITUTE(SUBSTITUTE(SUBSTITUTE(SUBSTITUTE(G13,"&lt;p&gt;",""),"&lt;/p&gt;",""),"&lt;ul&gt;",""),"&lt;/ul&gt;",""),"&lt;/strong&gt;",""))</f>
        <v>Rencontre Salon Next Gen Patrimoine 16/04, prospect Axel intéressé par offre pour petits clients. Présentation cabinet, 10m€ encours, 4m€ diversification. Envoi brochure FCPI, visio 22/04, décision de commercialiser à partir de septembre. Convention et liste KYD adressées, attente signature.</v>
      </c>
      <c r="I13" s="12" cm="1" t="str">
        <f t="array" ref="I13">IF(C13="","",IF(OR(H13="",H13=0,H13=FALSE),"-",H13))</f>
        <v>Rencontre Salon Next Gen Patrimoine 16/04, prospect Axel intéressé par offre pour petits clients. Présentation cabinet, 10m€ encours, 4m€ diversification. Envoi brochure FCPI, visio 22/04, décision de commercialiser à partir de septembre. Convention et liste KYD adressées, attente signature.</v>
      </c>
      <c r="J13" s="6">
</c>
      <c r="K13" s="6" t="s">
        <v>53</v>
      </c>
      <c r="L13" s="6" cm="1" t="str">
        <f t="array" ref="L13">IF(C13="","",IF(K13="Mort / Plus rien à faire","KO","OK"))</f>
        <v>OK</v>
      </c>
      <c r="M13" s="13">
        <v>46140.59960648148</v>
      </c>
      <c r="N13" s="13" cm="1" t="n">
        <f t="array" ref="N13">IF(OR(C13="",M13="",M13=0),"",M13)</f>
        <v>46140.59960648148</v>
      </c>
      <c r="O13" s="13">
</c>
      <c r="P13" s="13" cm="1" t="str">
        <f t="array" ref="P13">IF(C13="","",IF(OR(O13="",O13=0),"-",O13))</f>
        <v>-</v>
      </c>
      <c r="Q13" s="14">
        <v>0</v>
      </c>
      <c r="R13" s="6" cm="1" t="str">
        <f t="array" ref="R13">IF(C13="","",ROUND(Q13/1000000,3)&amp;" M€")</f>
        <v>0 M€</v>
      </c>
      <c r="S13" s="15">
        <v>50</v>
      </c>
      <c r="T13" s="6" cm="1" t="str">
        <f t="array" ref="T13">IF(C13="","",SUBSTITUTE(S13,"","")&amp;"%")</f>
        <v>50%</v>
      </c>
      <c r="U13" s="12" cm="1" t="str">
        <f t="array" ref="U13">IF(($N13="")*($P13=""),"",IF(($N13&lt;&gt;"")*($N13&gt;TODAY()-9)*($N13&lt;TODAY()+1)*($P13&lt;&gt;"")*($P13&gt;=TODAY())*($P13&lt;=TODAY()+13),"Semaine passée &amp; à venir",IF(($N13&lt;&gt;"")*($N13&gt;TODAY()-9)*($N13&lt;TODAY()+1),"Semaine passée",IF(($P13&lt;&gt;"")*($P13&gt;=TODAY())*($P13&lt;=TODAY()+13),"À venir","Autre"))))</f>
        <v>Semaine passée</v>
      </c>
      <c r="V13" s="5" cm="1" t="n">
        <f t="array" ref="V13">IF(C13&lt;&gt;"",1,0)</f>
        <v>1</v>
      </c>
      <c r="W13" s="5">
</c>
      <c r="X13" s="5">
</c>
      <c r="Y13" s="5">
</c>
      <c r="Z13" s="5">
</c>
      <c r="AA13" s="5">
</c>
      <c r="AB13" s="5">
</c>
      <c r="AC13" s="5">
</c>
      <c r="AD13" s="5">
</c>
      <c r="AE13" s="5">
</c>
      <c r="AF13" s="5">
</c>
      <c r="AG13" s="5">
</c>
      <c r="AH13" s="5">
</c>
      <c r="AI13" s="5">
</c>
      <c r="AJ13" s="5">
</c>
      <c r="AK13" s="5">
</c>
    </row>
    <row r="14" ht="65.25" customHeight="1">
      <c r="A14" s="6" t="s">
        <v>23</v>
      </c>
      <c r="B14" s="6" t="s">
        <v>40</v>
      </c>
      <c r="C14" s="11" t="s">
        <v>62</v>
      </c>
      <c r="D14" s="11" t="s">
        <v>62</v>
      </c>
      <c r="E14" s="6" t="s">
        <v>35</v>
      </c>
      <c r="F14" s="6" t="s">
        <v>63</v>
      </c>
      <c r="G14" s="6" cm="1" t="str">
        <f t="array" ref="G14">IF(F14="","",SUBSTITUTE(SUBSTITUTE(SUBSTITUTE(SUBSTITUTE(F14,"&lt;li&gt;",CHAR(10)),"&lt;/li&gt;",""),"&lt;br&gt;",CHAR(10)),"&lt;strong&gt;",""))</f>
        <v>&lt;p&gt;Lead CB créé pour équipe Ventes, aucune activité, échange ou action suivie depuis la création. Aucun retour prospect, aucune interaction ni prochaine étape identifiée. Aucun suivi ou compte-rendu disponible à ce jour. Pas d'information sur l'origine précise de la piste ni de contexte additionnel.&lt;/p&gt;</v>
      </c>
      <c r="H14" s="6" cm="1" t="str">
        <f t="array" ref="H14">IF(G14="","",SUBSTITUTE(SUBSTITUTE(SUBSTITUTE(SUBSTITUTE(SUBSTITUTE(G14,"&lt;p&gt;",""),"&lt;/p&gt;",""),"&lt;ul&gt;",""),"&lt;/ul&gt;",""),"&lt;/strong&gt;",""))</f>
        <v>Lead CB créé pour équipe Ventes, aucune activité, échange ou action suivie depuis la création. Aucun retour prospect, aucune interaction ni prochaine étape identifiée. Aucun suivi ou compte-rendu disponible à ce jour. Pas d'information sur l'origine précise de la piste ni de contexte additionnel.</v>
      </c>
      <c r="I14" s="12" cm="1" t="str">
        <f t="array" ref="I14">IF(C14="","",IF(OR(H14="",H14=0,H14=FALSE),"-",H14))</f>
        <v>Lead CB créé pour équipe Ventes, aucune activité, échange ou action suivie depuis la création. Aucun retour prospect, aucune interaction ni prochaine étape identifiée. Aucun suivi ou compte-rendu disponible à ce jour. Pas d'information sur l'origine précise de la piste ni de contexte additionnel.</v>
      </c>
      <c r="J14" s="6">
</c>
      <c r="K14" s="6" t="s">
        <v>46</v>
      </c>
      <c r="L14" s="6" cm="1" t="str">
        <f t="array" ref="L14">IF(C14="","",IF(K14="Mort / Plus rien à faire","KO","OK"))</f>
        <v>OK</v>
      </c>
      <c r="M14" s="13">
        <v>46125.59012731481</v>
      </c>
      <c r="N14" s="13" cm="1" t="n">
        <f t="array" ref="N14">IF(OR(C14="",M14="",M14=0),"",M14)</f>
        <v>46125.59012731481</v>
      </c>
      <c r="O14" s="13">
</c>
      <c r="P14" s="13" cm="1" t="str">
        <f t="array" ref="P14">IF(C14="","",IF(OR(O14="",O14=0),"-",O14))</f>
        <v>-</v>
      </c>
      <c r="Q14" s="14">
        <v>0</v>
      </c>
      <c r="R14" s="6" cm="1" t="str">
        <f t="array" ref="R14">IF(C14="","",ROUND(Q14/1000000,3)&amp;" M€")</f>
        <v>0 M€</v>
      </c>
      <c r="S14" s="15">
        <v>50</v>
      </c>
      <c r="T14" s="6" cm="1" t="str">
        <f t="array" ref="T14">IF(C14="","",SUBSTITUTE(S14,"","")&amp;"%")</f>
        <v>50%</v>
      </c>
      <c r="U14" s="12" cm="1" t="str">
        <f t="array" ref="U14">IF(($N14="")*($P14=""),"",IF(($N14&lt;&gt;"")*($N14&gt;TODAY()-9)*($N14&lt;TODAY()+1)*($P14&lt;&gt;"")*($P14&gt;=TODAY())*($P14&lt;=TODAY()+13),"Semaine passée &amp; à venir",IF(($N14&lt;&gt;"")*($N14&gt;TODAY()-9)*($N14&lt;TODAY()+1),"Semaine passée",IF(($P14&lt;&gt;"")*($P14&gt;=TODAY())*($P14&lt;=TODAY()+13),"À venir","Autre"))))</f>
        <v>Autre</v>
      </c>
      <c r="V14" s="5" cm="1" t="n">
        <f t="array" ref="V14">IF(C14&lt;&gt;"",1,0)</f>
        <v>1</v>
      </c>
      <c r="W14" s="5">
</c>
      <c r="X14" s="5">
</c>
      <c r="Y14" s="5">
</c>
      <c r="Z14" s="5">
</c>
      <c r="AA14" s="5">
</c>
      <c r="AB14" s="5">
</c>
      <c r="AC14" s="5">
</c>
      <c r="AD14" s="5">
</c>
      <c r="AE14" s="5">
</c>
      <c r="AF14" s="5">
</c>
      <c r="AG14" s="5">
</c>
      <c r="AH14" s="5">
</c>
      <c r="AI14" s="5">
</c>
      <c r="AJ14" s="5">
</c>
      <c r="AK14" s="5">
</c>
    </row>
    <row r="15" ht="65.25" customHeight="1">
      <c r="A15" s="6" t="s">
        <v>23</v>
      </c>
      <c r="B15" s="6" t="s">
        <v>24</v>
      </c>
      <c r="C15" s="11" t="s">
        <v>64</v>
      </c>
      <c r="D15" s="11" t="s">
        <v>65</v>
      </c>
      <c r="E15" s="6" t="s">
        <v>27</v>
      </c>
      <c r="F15" s="6" t="s">
        <v>66</v>
      </c>
      <c r="G15" s="6" cm="1" t="str">
        <f t="array" ref="G15">IF(F15="","",SUBSTITUTE(SUBSTITUTE(SUBSTITUTE(SUBSTITUTE(F15,"&lt;li&gt;",CHAR(10)),"&lt;/li&gt;",""),"&lt;br&gt;",CHAR(10)),"&lt;strong&gt;",""))</f>
        <v>&lt;p&gt;Visio 08/04 : présentation Audacia/FCPI, prospect intéressé mais prudent sur santé, souhaite consulter confrères, intéressé par immo. Mail 08/04 : envoi présentations, proposition RDV équipe immo + 2e RDV FCPI. Mail 21/04 : organisation RDV Levée et 2e RDV Cédric. Prochaine étape : organiser 2e RDV FCPI + équipe immo.&lt;/p&gt;</v>
      </c>
      <c r="H15" s="6" cm="1" t="str">
        <f t="array" ref="H15">IF(G15="","",SUBSTITUTE(SUBSTITUTE(SUBSTITUTE(SUBSTITUTE(SUBSTITUTE(G15,"&lt;p&gt;",""),"&lt;/p&gt;",""),"&lt;ul&gt;",""),"&lt;/ul&gt;",""),"&lt;/strong&gt;",""))</f>
        <v>Visio 08/04 : présentation Audacia/FCPI, prospect intéressé mais prudent sur santé, souhaite consulter confrères, intéressé par immo. Mail 08/04 : envoi présentations, proposition RDV équipe immo + 2e RDV FCPI. Mail 21/04 : organisation RDV Levée et 2e RDV Cédric. Prochaine étape : organiser 2e RDV FCPI + équipe immo.</v>
      </c>
      <c r="I15" s="12" cm="1" t="str">
        <f t="array" ref="I15">IF(C15="","",IF(OR(H15="",H15=0,H15=FALSE),"-",H15))</f>
        <v>Visio 08/04 : présentation Audacia/FCPI, prospect intéressé mais prudent sur santé, souhaite consulter confrères, intéressé par immo. Mail 08/04 : envoi présentations, proposition RDV équipe immo + 2e RDV FCPI. Mail 21/04 : organisation RDV Levée et 2e RDV Cédric. Prochaine étape : organiser 2e RDV FCPI + équipe immo.</v>
      </c>
      <c r="J15" s="6">
</c>
      <c r="K15" s="6" t="s">
        <v>53</v>
      </c>
      <c r="L15" s="6" cm="1" t="str">
        <f t="array" ref="L15">IF(C15="","",IF(K15="Mort / Plus rien à faire","KO","OK"))</f>
        <v>OK</v>
      </c>
      <c r="M15" s="13">
        <v>46133.448854166665</v>
      </c>
      <c r="N15" s="13" cm="1" t="n">
        <f t="array" ref="N15">IF(OR(C15="",M15="",M15=0),"",M15)</f>
        <v>46133.448854166665</v>
      </c>
      <c r="O15" s="13">
</c>
      <c r="P15" s="13" cm="1" t="str">
        <f t="array" ref="P15">IF(C15="","",IF(OR(O15="",O15=0),"-",O15))</f>
        <v>-</v>
      </c>
      <c r="Q15" s="14">
        <v>0</v>
      </c>
      <c r="R15" s="6" cm="1" t="str">
        <f t="array" ref="R15">IF(C15="","",ROUND(Q15/1000000,3)&amp;" M€")</f>
        <v>0 M€</v>
      </c>
      <c r="S15" s="15">
        <v>50</v>
      </c>
      <c r="T15" s="6" cm="1" t="str">
        <f t="array" ref="T15">IF(C15="","",SUBSTITUTE(S15,"","")&amp;"%")</f>
        <v>50%</v>
      </c>
      <c r="U15" s="12" cm="1" t="str">
        <f t="array" ref="U15">IF(($N15="")*($P15=""),"",IF(($N15&lt;&gt;"")*($N15&gt;TODAY()-9)*($N15&lt;TODAY()+1)*($P15&lt;&gt;"")*($P15&gt;=TODAY())*($P15&lt;=TODAY()+13),"Semaine passée &amp; à venir",IF(($N15&lt;&gt;"")*($N15&gt;TODAY()-9)*($N15&lt;TODAY()+1),"Semaine passée",IF(($P15&lt;&gt;"")*($P15&gt;=TODAY())*($P15&lt;=TODAY()+13),"À venir","Autre"))))</f>
        <v>Autre</v>
      </c>
      <c r="V15" s="5" cm="1" t="n">
        <f t="array" ref="V15">IF(C15&lt;&gt;"",1,0)</f>
        <v>1</v>
      </c>
      <c r="W15" s="5">
</c>
      <c r="X15" s="5">
</c>
      <c r="Y15" s="5">
</c>
      <c r="Z15" s="5">
</c>
      <c r="AA15" s="5">
</c>
      <c r="AB15" s="5">
</c>
      <c r="AC15" s="5">
</c>
      <c r="AD15" s="5">
</c>
      <c r="AE15" s="5">
</c>
      <c r="AF15" s="5">
</c>
      <c r="AG15" s="5">
</c>
      <c r="AH15" s="5">
</c>
      <c r="AI15" s="5">
</c>
      <c r="AJ15" s="5">
</c>
      <c r="AK15" s="5">
</c>
    </row>
    <row r="16" ht="65.25" customHeight="1">
      <c r="A16" s="6" t="s">
        <v>23</v>
      </c>
      <c r="B16" s="6" t="s">
        <v>40</v>
      </c>
      <c r="C16" s="11" t="s">
        <v>40</v>
      </c>
      <c r="D16" s="11" t="s">
        <v>67</v>
      </c>
      <c r="E16" s="6" t="s">
        <v>35</v>
      </c>
      <c r="F16" s="6" t="s">
        <v>68</v>
      </c>
      <c r="G16" s="6" cm="1" t="str">
        <f t="array" ref="G16">IF(F16="","",SUBSTITUTE(SUBSTITUTE(SUBSTITUTE(SUBSTITUTE(F16,"&lt;li&gt;",CHAR(10)),"&lt;/li&gt;",""),"&lt;br&gt;",CHAR(10)),"&lt;strong&gt;",""))</f>
        <v>&lt;p&gt;Nouvelle piste créée pour équipe Ventes. Mail envoyé pour prévoir échange téléphonique sur le FCPI. Pas de données société trouvées via enrichissement email. Aucun retour prospect ni activité complémentaire enregistrée. Prochaines étapes : attendre retour pour fixer l'échange téléphonique.&lt;/p&gt;</v>
      </c>
      <c r="H16" s="6" cm="1" t="str">
        <f t="array" ref="H16">IF(G16="","",SUBSTITUTE(SUBSTITUTE(SUBSTITUTE(SUBSTITUTE(SUBSTITUTE(G16,"&lt;p&gt;",""),"&lt;/p&gt;",""),"&lt;ul&gt;",""),"&lt;/ul&gt;",""),"&lt;/strong&gt;",""))</f>
        <v>Nouvelle piste créée pour équipe Ventes. Mail envoyé pour prévoir échange téléphonique sur le FCPI. Pas de données société trouvées via enrichissement email. Aucun retour prospect ni activité complémentaire enregistrée. Prochaines étapes : attendre retour pour fixer l'échange téléphonique.</v>
      </c>
      <c r="I16" s="12" cm="1" t="str">
        <f t="array" ref="I16">IF(C16="","",IF(OR(H16="",H16=0,H16=FALSE),"-",H16))</f>
        <v>Nouvelle piste créée pour équipe Ventes. Mail envoyé pour prévoir échange téléphonique sur le FCPI. Pas de données société trouvées via enrichissement email. Aucun retour prospect ni activité complémentaire enregistrée. Prochaines étapes : attendre retour pour fixer l'échange téléphonique.</v>
      </c>
      <c r="J16" s="6">
</c>
      <c r="K16" s="6" t="s">
        <v>46</v>
      </c>
      <c r="L16" s="6" cm="1" t="str">
        <f t="array" ref="L16">IF(C16="","",IF(K16="Mort / Plus rien à faire","KO","OK"))</f>
        <v>OK</v>
      </c>
      <c r="M16" s="13">
        <v>46132.60559027778</v>
      </c>
      <c r="N16" s="13" cm="1" t="n">
        <f t="array" ref="N16">IF(OR(C16="",M16="",M16=0),"",M16)</f>
        <v>46132.60559027778</v>
      </c>
      <c r="O16" s="13">
</c>
      <c r="P16" s="13" cm="1" t="str">
        <f t="array" ref="P16">IF(C16="","",IF(OR(O16="",O16=0),"-",O16))</f>
        <v>-</v>
      </c>
      <c r="Q16" s="14">
        <v>0</v>
      </c>
      <c r="R16" s="6" cm="1" t="str">
        <f t="array" ref="R16">IF(C16="","",ROUND(Q16/1000000,3)&amp;" M€")</f>
        <v>0 M€</v>
      </c>
      <c r="S16" s="15">
        <v>40</v>
      </c>
      <c r="T16" s="6" cm="1" t="str">
        <f t="array" ref="T16">IF(C16="","",SUBSTITUTE(S16,"","")&amp;"%")</f>
        <v>40%</v>
      </c>
      <c r="U16" s="12" cm="1" t="str">
        <f t="array" ref="U16">IF(($N16="")*($P16=""),"",IF(($N16&lt;&gt;"")*($N16&gt;TODAY()-9)*($N16&lt;TODAY()+1)*($P16&lt;&gt;"")*($P16&gt;=TODAY())*($P16&lt;=TODAY()+13),"Semaine passée &amp; à venir",IF(($N16&lt;&gt;"")*($N16&gt;TODAY()-9)*($N16&lt;TODAY()+1),"Semaine passée",IF(($P16&lt;&gt;"")*($P16&gt;=TODAY())*($P16&lt;=TODAY()+13),"À venir","Autre"))))</f>
        <v>Autre</v>
      </c>
      <c r="V16" s="5" cm="1" t="n">
        <f t="array" ref="V16">IF(C16&lt;&gt;"",1,0)</f>
        <v>1</v>
      </c>
      <c r="W16" s="5">
</c>
      <c r="X16" s="5">
</c>
      <c r="Y16" s="5">
</c>
      <c r="Z16" s="5">
</c>
      <c r="AA16" s="5">
</c>
      <c r="AB16" s="5">
</c>
      <c r="AC16" s="5">
</c>
      <c r="AD16" s="5">
</c>
      <c r="AE16" s="5">
</c>
      <c r="AF16" s="5">
</c>
      <c r="AG16" s="5">
</c>
      <c r="AH16" s="5">
</c>
      <c r="AI16" s="5">
</c>
      <c r="AJ16" s="5">
</c>
      <c r="AK16" s="5">
</c>
    </row>
    <row r="17" ht="65.25" customHeight="1">
      <c r="A17" s="6" t="s">
        <v>23</v>
      </c>
      <c r="B17" s="6" t="s">
        <v>69</v>
      </c>
      <c r="C17" s="11" t="s">
        <v>70</v>
      </c>
      <c r="D17" s="11" t="s">
        <v>71</v>
      </c>
      <c r="E17" s="6" t="s">
        <v>56</v>
      </c>
      <c r="F17" s="6" t="s">
        <v>72</v>
      </c>
      <c r="G17" s="6" cm="1" t="str">
        <f t="array" ref="G17">IF(F17="","",SUBSTITUTE(SUBSTITUTE(SUBSTITUTE(SUBSTITUTE(F17,"&lt;li&gt;",CHAR(10)),"&lt;/li&gt;",""),"&lt;br&gt;",CHAR(10)),"&lt;strong&gt;",""))</f>
        <v>&lt;p&gt;RDV physique calé avec Romain Barnay (Directeur Banque Privé) pour approche banquier privé. Dernière action : prise de contact, objectif : présenter fonds XXXX. Pas de retour prospect sur fonds à ce stade. Prochaine étape : tenir le RDV fixé, suivi à prévoir selon échanges.&lt;/p&gt;</v>
      </c>
      <c r="H17" s="6" cm="1" t="str">
        <f t="array" ref="H17">IF(G17="","",SUBSTITUTE(SUBSTITUTE(SUBSTITUTE(SUBSTITUTE(SUBSTITUTE(G17,"&lt;p&gt;",""),"&lt;/p&gt;",""),"&lt;ul&gt;",""),"&lt;/ul&gt;",""),"&lt;/strong&gt;",""))</f>
        <v>RDV physique calé avec Romain Barnay (Directeur Banque Privé) pour approche banquier privé. Dernière action : prise de contact, objectif : présenter fonds XXXX. Pas de retour prospect sur fonds à ce stade. Prochaine étape : tenir le RDV fixé, suivi à prévoir selon échanges.</v>
      </c>
      <c r="I17" s="12" cm="1" t="str">
        <f t="array" ref="I17">IF(C17="","",IF(OR(H17="",H17=0,H17=FALSE),"-",H17))</f>
        <v>RDV physique calé avec Romain Barnay (Directeur Banque Privé) pour approche banquier privé. Dernière action : prise de contact, objectif : présenter fonds XXXX. Pas de retour prospect sur fonds à ce stade. Prochaine étape : tenir le RDV fixé, suivi à prévoir selon échanges.</v>
      </c>
      <c r="J17" s="6" t="s">
        <v>73</v>
      </c>
      <c r="K17" s="6" t="s">
        <v>74</v>
      </c>
      <c r="L17" s="6" cm="1" t="str">
        <f t="array" ref="L17">IF(C17="","",IF(K17="Mort / Plus rien à faire","KO","OK"))</f>
        <v>OK</v>
      </c>
      <c r="M17" s="13">
        <v>46129.75131944445</v>
      </c>
      <c r="N17" s="13" cm="1" t="n">
        <f t="array" ref="N17">IF(OR(C17="",M17="",M17=0),"",M17)</f>
        <v>46129.75131944445</v>
      </c>
      <c r="O17" s="13">
</c>
      <c r="P17" s="13" cm="1" t="str">
        <f t="array" ref="P17">IF(C17="","",IF(OR(O17="",O17=0),"-",O17))</f>
        <v>-</v>
      </c>
      <c r="Q17" s="14">
        <v>0</v>
      </c>
      <c r="R17" s="6" cm="1" t="str">
        <f t="array" ref="R17">IF(C17="","",ROUND(Q17/1000000,3)&amp;" M€")</f>
        <v>0 M€</v>
      </c>
      <c r="S17" s="15">
        <v>30</v>
      </c>
      <c r="T17" s="6" cm="1" t="str">
        <f t="array" ref="T17">IF(C17="","",SUBSTITUTE(S17,"","")&amp;"%")</f>
        <v>30%</v>
      </c>
      <c r="U17" s="12" cm="1" t="str">
        <f t="array" ref="U17">IF(($N17="")*($P17=""),"",IF(($N17&lt;&gt;"")*($N17&gt;TODAY()-9)*($N17&lt;TODAY()+1)*($P17&lt;&gt;"")*($P17&gt;=TODAY())*($P17&lt;=TODAY()+13),"Semaine passée &amp; à venir",IF(($N17&lt;&gt;"")*($N17&gt;TODAY()-9)*($N17&lt;TODAY()+1),"Semaine passée",IF(($P17&lt;&gt;"")*($P17&gt;=TODAY())*($P17&lt;=TODAY()+13),"À venir","Autre"))))</f>
        <v>Autre</v>
      </c>
      <c r="V17" s="5" cm="1" t="n">
        <f t="array" ref="V17">IF(C17&lt;&gt;"",1,0)</f>
        <v>1</v>
      </c>
      <c r="W17" s="5">
</c>
      <c r="X17" s="5">
</c>
      <c r="Y17" s="5">
</c>
      <c r="Z17" s="5">
</c>
      <c r="AA17" s="5">
</c>
      <c r="AB17" s="5">
</c>
      <c r="AC17" s="5">
</c>
      <c r="AD17" s="5">
</c>
      <c r="AE17" s="5">
</c>
      <c r="AF17" s="5">
</c>
      <c r="AG17" s="5">
</c>
      <c r="AH17" s="5">
</c>
      <c r="AI17" s="5">
</c>
      <c r="AJ17" s="5">
</c>
      <c r="AK17" s="5">
</c>
    </row>
    <row r="18" ht="65.25" customHeight="1">
      <c r="A18" s="6" t="s">
        <v>23</v>
      </c>
      <c r="B18" s="6" t="s">
        <v>24</v>
      </c>
      <c r="C18" s="11" t="s">
        <v>75</v>
      </c>
      <c r="D18" s="11" t="s">
        <v>76</v>
      </c>
      <c r="E18" s="6" t="s">
        <v>44</v>
      </c>
      <c r="F18" s="6" t="s">
        <v>77</v>
      </c>
      <c r="G18" s="6" cm="1" t="str">
        <f t="array" ref="G18">IF(F18="","",SUBSTITUTE(SUBSTITUTE(SUBSTITUTE(SUBSTITUTE(F18,"&lt;li&gt;",CHAR(10)),"&lt;/li&gt;",""),"&lt;br&gt;",CHAR(10)),"&lt;strong&gt;",""))</f>
        <v>&lt;p&gt;Nouvelle piste créée pour équipe Ventes. R1 programmé le 9 juin avec Cédric et Romain. Enrichissement lead tenté, pas de données société trouvées via email. Pas d'autres activités ou retours prospects mentionnés. Prochaine étape : R1 le 9 juin.&lt;/p&gt;</v>
      </c>
      <c r="H18" s="6" cm="1" t="str">
        <f t="array" ref="H18">IF(G18="","",SUBSTITUTE(SUBSTITUTE(SUBSTITUTE(SUBSTITUTE(SUBSTITUTE(G18,"&lt;p&gt;",""),"&lt;/p&gt;",""),"&lt;ul&gt;",""),"&lt;/ul&gt;",""),"&lt;/strong&gt;",""))</f>
        <v>Nouvelle piste créée pour équipe Ventes. R1 programmé le 9 juin avec Cédric et Romain. Enrichissement lead tenté, pas de données société trouvées via email. Pas d'autres activités ou retours prospects mentionnés. Prochaine étape : R1 le 9 juin.</v>
      </c>
      <c r="I18" s="12" cm="1" t="str">
        <f t="array" ref="I18">IF(C18="","",IF(OR(H18="",H18=0,H18=FALSE),"-",H18))</f>
        <v>Nouvelle piste créée pour équipe Ventes. R1 programmé le 9 juin avec Cédric et Romain. Enrichissement lead tenté, pas de données société trouvées via email. Pas d'autres activités ou retours prospects mentionnés. Prochaine étape : R1 le 9 juin.</v>
      </c>
      <c r="J18" s="6">
</c>
      <c r="K18" s="6" t="s">
        <v>46</v>
      </c>
      <c r="L18" s="6" cm="1" t="str">
        <f t="array" ref="L18">IF(C18="","",IF(K18="Mort / Plus rien à faire","KO","OK"))</f>
        <v>OK</v>
      </c>
      <c r="M18" s="13">
        <v>46141.73658564815</v>
      </c>
      <c r="N18" s="13" cm="1" t="n">
        <f t="array" ref="N18">IF(OR(C18="",M18="",M18=0),"",M18)</f>
        <v>46141.73658564815</v>
      </c>
      <c r="O18" s="13">
</c>
      <c r="P18" s="13" cm="1" t="str">
        <f t="array" ref="P18">IF(C18="","",IF(OR(O18="",O18=0),"-",O18))</f>
        <v>-</v>
      </c>
      <c r="Q18" s="14">
        <v>0</v>
      </c>
      <c r="R18" s="6" cm="1" t="str">
        <f t="array" ref="R18">IF(C18="","",ROUND(Q18/1000000,3)&amp;" M€")</f>
        <v>0 M€</v>
      </c>
      <c r="S18" s="15">
        <v>30</v>
      </c>
      <c r="T18" s="6" cm="1" t="str">
        <f t="array" ref="T18">IF(C18="","",SUBSTITUTE(S18,"","")&amp;"%")</f>
        <v>30%</v>
      </c>
      <c r="U18" s="12" cm="1" t="str">
        <f t="array" ref="U18">IF(($N18="")*($P18=""),"",IF(($N18&lt;&gt;"")*($N18&gt;TODAY()-9)*($N18&lt;TODAY()+1)*($P18&lt;&gt;"")*($P18&gt;=TODAY())*($P18&lt;=TODAY()+13),"Semaine passée &amp; à venir",IF(($N18&lt;&gt;"")*($N18&gt;TODAY()-9)*($N18&lt;TODAY()+1),"Semaine passée",IF(($P18&lt;&gt;"")*($P18&gt;=TODAY())*($P18&lt;=TODAY()+13),"À venir","Autre"))))</f>
        <v>Semaine passée</v>
      </c>
      <c r="V18" s="5" cm="1" t="n">
        <f t="array" ref="V18">IF(C18&lt;&gt;"",1,0)</f>
        <v>1</v>
      </c>
      <c r="W18" s="5">
</c>
      <c r="X18" s="5">
</c>
      <c r="Y18" s="5">
</c>
      <c r="Z18" s="5">
</c>
      <c r="AA18" s="5">
</c>
      <c r="AB18" s="5">
</c>
      <c r="AC18" s="5">
</c>
      <c r="AD18" s="5">
</c>
      <c r="AE18" s="5">
</c>
      <c r="AF18" s="5">
</c>
      <c r="AG18" s="5">
</c>
      <c r="AH18" s="5">
</c>
      <c r="AI18" s="5">
</c>
      <c r="AJ18" s="5">
</c>
      <c r="AK18" s="5">
</c>
    </row>
    <row r="19" ht="65.25" customHeight="1">
      <c r="A19" s="6" t="s">
        <v>23</v>
      </c>
      <c r="B19" s="6" t="s">
        <v>24</v>
      </c>
      <c r="C19" s="11" t="s">
        <v>78</v>
      </c>
      <c r="D19" s="11" t="s">
        <v>79</v>
      </c>
      <c r="E19" s="6" t="s">
        <v>35</v>
      </c>
      <c r="F19" s="6" t="s">
        <v>80</v>
      </c>
      <c r="G19" s="6" cm="1" t="str">
        <f t="array" ref="G19">IF(F19="","",SUBSTITUTE(SUBSTITUTE(SUBSTITUTE(SUBSTITUTE(F19,"&lt;li&gt;",CHAR(10)),"&lt;/li&gt;",""),"&lt;br&gt;",CHAR(10)),"&lt;strong&gt;",""))</f>
        <v>&lt;p&gt;Appel avec Michel Hollander, Stanislas Guerrin et Alban Ardin à mettre en copie pour organiser RDV avec Gérant FCPI. Nouvelle piste créée pour équipe Ventes. Prochaine étape : fixer dates avec le gérant. Pas d'autres retours ou conclusions prospects mentionnés à ce stade.&lt;/p&gt;</v>
      </c>
      <c r="H19" s="6" cm="1" t="str">
        <f t="array" ref="H19">IF(G19="","",SUBSTITUTE(SUBSTITUTE(SUBSTITUTE(SUBSTITUTE(SUBSTITUTE(G19,"&lt;p&gt;",""),"&lt;/p&gt;",""),"&lt;ul&gt;",""),"&lt;/ul&gt;",""),"&lt;/strong&gt;",""))</f>
        <v>Appel avec Michel Hollander, Stanislas Guerrin et Alban Ardin à mettre en copie pour organiser RDV avec Gérant FCPI. Nouvelle piste créée pour équipe Ventes. Prochaine étape : fixer dates avec le gérant. Pas d'autres retours ou conclusions prospects mentionnés à ce stade.</v>
      </c>
      <c r="I19" s="12" cm="1" t="str">
        <f t="array" ref="I19">IF(C19="","",IF(OR(H19="",H19=0,H19=FALSE),"-",H19))</f>
        <v>Appel avec Michel Hollander, Stanislas Guerrin et Alban Ardin à mettre en copie pour organiser RDV avec Gérant FCPI. Nouvelle piste créée pour équipe Ventes. Prochaine étape : fixer dates avec le gérant. Pas d'autres retours ou conclusions prospects mentionnés à ce stade.</v>
      </c>
      <c r="J19" s="6">
</c>
      <c r="K19" s="6" t="s">
        <v>46</v>
      </c>
      <c r="L19" s="6" cm="1" t="str">
        <f t="array" ref="L19">IF(C19="","",IF(K19="Mort / Plus rien à faire","KO","OK"))</f>
        <v>OK</v>
      </c>
      <c r="M19" s="13">
        <v>46094.76116898148</v>
      </c>
      <c r="N19" s="13" cm="1" t="n">
        <f t="array" ref="N19">IF(OR(C19="",M19="",M19=0),"",M19)</f>
        <v>46094.76116898148</v>
      </c>
      <c r="O19" s="13">
</c>
      <c r="P19" s="13" cm="1" t="str">
        <f t="array" ref="P19">IF(C19="","",IF(OR(O19="",O19=0),"-",O19))</f>
        <v>-</v>
      </c>
      <c r="Q19" s="14">
        <v>0</v>
      </c>
      <c r="R19" s="6" cm="1" t="str">
        <f t="array" ref="R19">IF(C19="","",ROUND(Q19/1000000,3)&amp;" M€")</f>
        <v>0 M€</v>
      </c>
      <c r="S19" s="15">
        <v>30</v>
      </c>
      <c r="T19" s="6" cm="1" t="str">
        <f t="array" ref="T19">IF(C19="","",SUBSTITUTE(S19,"","")&amp;"%")</f>
        <v>30%</v>
      </c>
      <c r="U19" s="12" cm="1" t="str">
        <f t="array" ref="U19">IF(($N19="")*($P19=""),"",IF(($N19&lt;&gt;"")*($N19&gt;TODAY()-9)*($N19&lt;TODAY()+1)*($P19&lt;&gt;"")*($P19&gt;=TODAY())*($P19&lt;=TODAY()+13),"Semaine passée &amp; à venir",IF(($N19&lt;&gt;"")*($N19&gt;TODAY()-9)*($N19&lt;TODAY()+1),"Semaine passée",IF(($P19&lt;&gt;"")*($P19&gt;=TODAY())*($P19&lt;=TODAY()+13),"À venir","Autre"))))</f>
        <v>Autre</v>
      </c>
      <c r="V19" s="5" cm="1" t="n">
        <f t="array" ref="V19">IF(C19&lt;&gt;"",1,0)</f>
        <v>1</v>
      </c>
      <c r="W19" s="5">
</c>
      <c r="X19" s="5">
</c>
      <c r="Y19" s="5">
</c>
      <c r="Z19" s="5">
</c>
      <c r="AA19" s="5">
</c>
      <c r="AB19" s="5">
</c>
      <c r="AC19" s="5">
</c>
      <c r="AD19" s="5">
</c>
      <c r="AE19" s="5">
</c>
      <c r="AF19" s="5">
</c>
      <c r="AG19" s="5">
</c>
      <c r="AH19" s="5">
</c>
      <c r="AI19" s="5">
</c>
      <c r="AJ19" s="5">
</c>
      <c r="AK19" s="5">
</c>
    </row>
    <row r="20" ht="65.25" customHeight="1">
      <c r="A20" s="6" t="s">
        <v>23</v>
      </c>
      <c r="B20" s="6" t="s">
        <v>81</v>
      </c>
      <c r="C20" s="11" t="s">
        <v>82</v>
      </c>
      <c r="D20" s="11" t="s">
        <v>83</v>
      </c>
      <c r="E20" s="6" t="s">
        <v>44</v>
      </c>
      <c r="F20" s="6" t="s">
        <v>84</v>
      </c>
      <c r="G20" s="6" cm="1" t="str">
        <f t="array" ref="G20">IF(F20="","",SUBSTITUTE(SUBSTITUTE(SUBSTITUTE(SUBSTITUTE(F20,"&lt;li&gt;",CHAR(10)),"&lt;/li&gt;",""),"&lt;br&gt;",CHAR(10)),"&lt;strong&gt;",""))</f>
        <v>&lt;p&gt;04/05/26: prise de contact par TS, prospect montre de l'intérêt, rendez-vous en cours de programmation. Nouvelle piste créée pour équipe Ventes. Pas d'autres actions ou retours prospect mentionnés. Prochaine étape : fixer le rendez-vous.&lt;/p&gt;</v>
      </c>
      <c r="H20" s="6" cm="1" t="str">
        <f t="array" ref="H20">IF(G20="","",SUBSTITUTE(SUBSTITUTE(SUBSTITUTE(SUBSTITUTE(SUBSTITUTE(G20,"&lt;p&gt;",""),"&lt;/p&gt;",""),"&lt;ul&gt;",""),"&lt;/ul&gt;",""),"&lt;/strong&gt;",""))</f>
        <v>04/05/26: prise de contact par TS, prospect montre de l'intérêt, rendez-vous en cours de programmation. Nouvelle piste créée pour équipe Ventes. Pas d'autres actions ou retours prospect mentionnés. Prochaine étape : fixer le rendez-vous.</v>
      </c>
      <c r="I20" s="12" cm="1" t="str">
        <f t="array" ref="I20">IF(C20="","",IF(OR(H20="",H20=0,H20=FALSE),"-",H20))</f>
        <v>04/05/26: prise de contact par TS, prospect montre de l'intérêt, rendez-vous en cours de programmation. Nouvelle piste créée pour équipe Ventes. Pas d'autres actions ou retours prospect mentionnés. Prochaine étape : fixer le rendez-vous.</v>
      </c>
      <c r="J20" s="6">
</c>
      <c r="K20" s="6" t="s">
        <v>46</v>
      </c>
      <c r="L20" s="6" cm="1" t="str">
        <f t="array" ref="L20">IF(C20="","",IF(K20="Mort / Plus rien à faire","KO","OK"))</f>
        <v>OK</v>
      </c>
      <c r="M20" s="13">
        <v>46146.43329861111</v>
      </c>
      <c r="N20" s="13" cm="1" t="n">
        <f t="array" ref="N20">IF(OR(C20="",M20="",M20=0),"",M20)</f>
        <v>46146.43329861111</v>
      </c>
      <c r="O20" s="13">
</c>
      <c r="P20" s="13" cm="1" t="str">
        <f t="array" ref="P20">IF(C20="","",IF(OR(O20="",O20=0),"-",O20))</f>
        <v>-</v>
      </c>
      <c r="Q20" s="14">
        <v>0</v>
      </c>
      <c r="R20" s="6" cm="1" t="str">
        <f t="array" ref="R20">IF(C20="","",ROUND(Q20/1000000,3)&amp;" M€")</f>
        <v>0 M€</v>
      </c>
      <c r="S20" s="15">
        <v>30</v>
      </c>
      <c r="T20" s="6" cm="1" t="str">
        <f t="array" ref="T20">IF(C20="","",SUBSTITUTE(S20,"","")&amp;"%")</f>
        <v>30%</v>
      </c>
      <c r="U20" s="12" cm="1" t="str">
        <f t="array" ref="U20">IF(($N20="")*($P20=""),"",IF(($N20&lt;&gt;"")*($N20&gt;TODAY()-9)*($N20&lt;TODAY()+1)*($P20&lt;&gt;"")*($P20&gt;=TODAY())*($P20&lt;=TODAY()+13),"Semaine passée &amp; à venir",IF(($N20&lt;&gt;"")*($N20&gt;TODAY()-9)*($N20&lt;TODAY()+1),"Semaine passée",IF(($P20&lt;&gt;"")*($P20&gt;=TODAY())*($P20&lt;=TODAY()+13),"À venir","Autre"))))</f>
        <v>Semaine passée</v>
      </c>
      <c r="V20" s="5" cm="1" t="n">
        <f t="array" ref="V20">IF(C20&lt;&gt;"",1,0)</f>
        <v>1</v>
      </c>
      <c r="W20" s="5">
</c>
      <c r="X20" s="5">
</c>
      <c r="Y20" s="5">
</c>
      <c r="Z20" s="5">
</c>
      <c r="AA20" s="5">
</c>
      <c r="AB20" s="5">
</c>
      <c r="AC20" s="5">
</c>
      <c r="AD20" s="5">
</c>
      <c r="AE20" s="5">
</c>
      <c r="AF20" s="5">
</c>
      <c r="AG20" s="5">
</c>
      <c r="AH20" s="5">
</c>
      <c r="AI20" s="5">
</c>
      <c r="AJ20" s="5">
</c>
      <c r="AK20" s="5">
</c>
    </row>
    <row r="21" ht="65.25" customHeight="1">
      <c r="A21" s="6" t="s">
        <v>23</v>
      </c>
      <c r="B21" s="6" t="s">
        <v>24</v>
      </c>
      <c r="C21" s="11" t="s">
        <v>85</v>
      </c>
      <c r="D21" s="11" t="s">
        <v>86</v>
      </c>
      <c r="E21" s="6" t="s">
        <v>44</v>
      </c>
      <c r="F21" s="6" t="s">
        <v>87</v>
      </c>
      <c r="G21" s="6" cm="1" t="str">
        <f t="array" ref="G21">IF(F21="","",SUBSTITUTE(SUBSTITUTE(SUBSTITUTE(SUBSTITUTE(F21,"&lt;li&gt;",CHAR(10)),"&lt;/li&gt;",""),"&lt;br&gt;",CHAR(10)),"&lt;strong&gt;",""))</f>
        <v>&lt;p&gt;Nouvelle piste créée pour équipe Ventes. RDV programmé le 7 mai à 15h par Théo Salerno. Pas d'autres actions ou retours prospect mentionnés. Prochaine étape : tenir le RDV du 7 mai. Aucun retour prospect sur fonds présentés à ce stade. Pas d'autres activités recensées.&lt;/p&gt;</v>
      </c>
      <c r="H21" s="6" cm="1" t="str">
        <f t="array" ref="H21">IF(G21="","",SUBSTITUTE(SUBSTITUTE(SUBSTITUTE(SUBSTITUTE(SUBSTITUTE(G21,"&lt;p&gt;",""),"&lt;/p&gt;",""),"&lt;ul&gt;",""),"&lt;/ul&gt;",""),"&lt;/strong&gt;",""))</f>
        <v>Nouvelle piste créée pour équipe Ventes. RDV programmé le 7 mai à 15h par Théo Salerno. Pas d'autres actions ou retours prospect mentionnés. Prochaine étape : tenir le RDV du 7 mai. Aucun retour prospect sur fonds présentés à ce stade. Pas d'autres activités recensées.</v>
      </c>
      <c r="I21" s="12" cm="1" t="str">
        <f t="array" ref="I21">IF(C21="","",IF(OR(H21="",H21=0,H21=FALSE),"-",H21))</f>
        <v>Nouvelle piste créée pour équipe Ventes. RDV programmé le 7 mai à 15h par Théo Salerno. Pas d'autres actions ou retours prospect mentionnés. Prochaine étape : tenir le RDV du 7 mai. Aucun retour prospect sur fonds présentés à ce stade. Pas d'autres activités recensées.</v>
      </c>
      <c r="J21" s="6">
</c>
      <c r="K21" s="6" t="s">
        <v>46</v>
      </c>
      <c r="L21" s="6" cm="1" t="str">
        <f t="array" ref="L21">IF(C21="","",IF(K21="Mort / Plus rien à faire","KO","OK"))</f>
        <v>OK</v>
      </c>
      <c r="M21" s="13">
        <v>46146.43509259259</v>
      </c>
      <c r="N21" s="13" cm="1" t="n">
        <f t="array" ref="N21">IF(OR(C21="",M21="",M21=0),"",M21)</f>
        <v>46146.43509259259</v>
      </c>
      <c r="O21" s="13">
</c>
      <c r="P21" s="13" cm="1" t="str">
        <f t="array" ref="P21">IF(C21="","",IF(OR(O21="",O21=0),"-",O21))</f>
        <v>-</v>
      </c>
      <c r="Q21" s="14">
        <v>0</v>
      </c>
      <c r="R21" s="6" cm="1" t="str">
        <f t="array" ref="R21">IF(C21="","",ROUND(Q21/1000000,3)&amp;" M€")</f>
        <v>0 M€</v>
      </c>
      <c r="S21" s="15">
        <v>30</v>
      </c>
      <c r="T21" s="6" cm="1" t="str">
        <f t="array" ref="T21">IF(C21="","",SUBSTITUTE(S21,"","")&amp;"%")</f>
        <v>30%</v>
      </c>
      <c r="U21" s="12" cm="1" t="str">
        <f t="array" ref="U21">IF(($N21="")*($P21=""),"",IF(($N21&lt;&gt;"")*($N21&gt;TODAY()-9)*($N21&lt;TODAY()+1)*($P21&lt;&gt;"")*($P21&gt;=TODAY())*($P21&lt;=TODAY()+13),"Semaine passée &amp; à venir",IF(($N21&lt;&gt;"")*($N21&gt;TODAY()-9)*($N21&lt;TODAY()+1),"Semaine passée",IF(($P21&lt;&gt;"")*($P21&gt;=TODAY())*($P21&lt;=TODAY()+13),"À venir","Autre"))))</f>
        <v>Semaine passée</v>
      </c>
      <c r="V21" s="5" cm="1" t="n">
        <f t="array" ref="V21">IF(C21&lt;&gt;"",1,0)</f>
        <v>1</v>
      </c>
      <c r="W21" s="5">
</c>
      <c r="X21" s="5">
</c>
      <c r="Y21" s="5">
</c>
      <c r="Z21" s="5">
</c>
      <c r="AA21" s="5">
</c>
      <c r="AB21" s="5">
</c>
      <c r="AC21" s="5">
</c>
      <c r="AD21" s="5">
</c>
      <c r="AE21" s="5">
</c>
      <c r="AF21" s="5">
</c>
      <c r="AG21" s="5">
</c>
      <c r="AH21" s="5">
</c>
      <c r="AI21" s="5">
</c>
      <c r="AJ21" s="5">
</c>
      <c r="AK21" s="5">
</c>
    </row>
    <row r="22" ht="65.25" customHeight="1">
      <c r="A22" s="6" t="s">
        <v>23</v>
      </c>
      <c r="B22" s="6" t="s">
        <v>24</v>
      </c>
      <c r="C22" s="11" t="s">
        <v>88</v>
      </c>
      <c r="D22" s="11" t="s">
        <v>89</v>
      </c>
      <c r="E22" s="6" t="s">
        <v>27</v>
      </c>
      <c r="F22" s="6" t="s">
        <v>90</v>
      </c>
      <c r="G22" s="6" cm="1" t="str">
        <f t="array" ref="G22">IF(F22="","",SUBSTITUTE(SUBSTITUTE(SUBSTITUTE(SUBSTITUTE(F22,"&lt;li&gt;",CHAR(10)),"&lt;/li&gt;",""),"&lt;br&gt;",CHAR(10)),"&lt;strong&gt;",""))</f>
        <v>&lt;p&gt;Cold call 11/2025, Vincent Debeve intéressé par nos fonds, mail envoyé. RDV 12/03/2026 : présentation Audacia &amp;amp; FCPI, intérêt pour FCPI, préfère tickets &amp;lt;100k, travaille avec Alto pour défisc. Présentations envoyées, demande intro Métagram. Relance prévue mai/juin pour campagne souscription septembre.&lt;/p&gt;</v>
      </c>
      <c r="H22" s="6" cm="1" t="str">
        <f t="array" ref="H22">IF(G22="","",SUBSTITUTE(SUBSTITUTE(SUBSTITUTE(SUBSTITUTE(SUBSTITUTE(G22,"&lt;p&gt;",""),"&lt;/p&gt;",""),"&lt;ul&gt;",""),"&lt;/ul&gt;",""),"&lt;/strong&gt;",""))</f>
        <v>Cold call 11/2025, Vincent Debeve intéressé par nos fonds, mail envoyé. RDV 12/03/2026 : présentation Audacia &amp;amp; FCPI, intérêt pour FCPI, préfère tickets &amp;lt;100k, travaille avec Alto pour défisc. Présentations envoyées, demande intro Métagram. Relance prévue mai/juin pour campagne souscription septembre.</v>
      </c>
      <c r="I22" s="12" cm="1" t="str">
        <f t="array" ref="I22">IF(C22="","",IF(OR(H22="",H22=0,H22=FALSE),"-",H22))</f>
        <v>Cold call 11/2025, Vincent Debeve intéressé par nos fonds, mail envoyé. RDV 12/03/2026 : présentation Audacia &amp;amp; FCPI, intérêt pour FCPI, préfère tickets &amp;lt;100k, travaille avec Alto pour défisc. Présentations envoyées, demande intro Métagram. Relance prévue mai/juin pour campagne souscription septembre.</v>
      </c>
      <c r="J22" s="6" t="s">
        <v>91</v>
      </c>
      <c r="K22" s="6" t="s">
        <v>46</v>
      </c>
      <c r="L22" s="6" cm="1" t="str">
        <f t="array" ref="L22">IF(C22="","",IF(K22="Mort / Plus rien à faire","KO","OK"))</f>
        <v>OK</v>
      </c>
      <c r="M22" s="13">
        <v>46093.66546296296</v>
      </c>
      <c r="N22" s="13" cm="1" t="n">
        <f t="array" ref="N22">IF(OR(C22="",M22="",M22=0),"",M22)</f>
        <v>46093.66546296296</v>
      </c>
      <c r="O22" s="13">
        <v>46153.041666666664</v>
      </c>
      <c r="P22" s="13" cm="1" t="n">
        <f t="array" ref="P22">IF(C22="","",IF(OR(O22="",O22=0),"-",O22))</f>
        <v>46153.041666666664</v>
      </c>
      <c r="Q22" s="14">
        <v>0</v>
      </c>
      <c r="R22" s="6" cm="1" t="str">
        <f t="array" ref="R22">IF(C22="","",ROUND(Q22/1000000,3)&amp;" M€")</f>
        <v>0 M€</v>
      </c>
      <c r="S22" s="15">
        <v>30</v>
      </c>
      <c r="T22" s="6" cm="1" t="str">
        <f t="array" ref="T22">IF(C22="","",SUBSTITUTE(S22,"","")&amp;"%")</f>
        <v>30%</v>
      </c>
      <c r="U22" s="12" cm="1" t="str">
        <f t="array" ref="U22">IF(($N22="")*($P22=""),"",IF(($N22&lt;&gt;"")*($N22&gt;TODAY()-9)*($N22&lt;TODAY()+1)*($P22&lt;&gt;"")*($P22&gt;=TODAY())*($P22&lt;=TODAY()+13),"Semaine passée &amp; à venir",IF(($N22&lt;&gt;"")*($N22&gt;TODAY()-9)*($N22&lt;TODAY()+1),"Semaine passée",IF(($P22&lt;&gt;"")*($P22&gt;=TODAY())*($P22&lt;=TODAY()+13),"À venir","Autre"))))</f>
        <v>À venir</v>
      </c>
      <c r="V22" s="5" cm="1" t="n">
        <f t="array" ref="V22">IF(C22&lt;&gt;"",1,0)</f>
        <v>1</v>
      </c>
      <c r="W22" s="5">
</c>
      <c r="X22" s="5">
</c>
      <c r="Y22" s="5">
</c>
      <c r="Z22" s="5">
</c>
      <c r="AA22" s="5">
</c>
      <c r="AB22" s="5">
</c>
      <c r="AC22" s="5">
</c>
      <c r="AD22" s="5">
</c>
      <c r="AE22" s="5">
</c>
      <c r="AF22" s="5">
</c>
      <c r="AG22" s="5">
</c>
      <c r="AH22" s="5">
</c>
      <c r="AI22" s="5">
</c>
      <c r="AJ22" s="5">
</c>
      <c r="AK22" s="5">
</c>
    </row>
    <row r="23" ht="65.25" customHeight="1">
      <c r="A23" s="6" t="s">
        <v>23</v>
      </c>
      <c r="B23" s="6" t="s">
        <v>24</v>
      </c>
      <c r="C23" s="11" t="s">
        <v>92</v>
      </c>
      <c r="D23" s="11" t="s">
        <v>93</v>
      </c>
      <c r="E23" s="6" t="s">
        <v>44</v>
      </c>
      <c r="F23" s="6" t="s">
        <v>94</v>
      </c>
      <c r="G23" s="6" cm="1" t="str">
        <f t="array" ref="G23">IF(F23="","",SUBSTITUTE(SUBSTITUTE(SUBSTITUTE(SUBSTITUTE(F23,"&lt;li&gt;",CHAR(10)),"&lt;/li&gt;",""),"&lt;br&gt;",CHAR(10)),"&lt;strong&gt;",""))</f>
        <v>&lt;p&gt;Prise de contact le 20/04, prospect intéressé par FCPI. Mail de présentation Audacia + Deck FCPI envoyé le 20/04. Pas de retour prospect à date, prochaine étape : attendre feedback suite à l'envoi du deck. Pas d'autres actions prévues pour l'instant. Suivi à poursuivre.&lt;/p&gt;</v>
      </c>
      <c r="H23" s="6" cm="1" t="str">
        <f t="array" ref="H23">IF(G23="","",SUBSTITUTE(SUBSTITUTE(SUBSTITUTE(SUBSTITUTE(SUBSTITUTE(G23,"&lt;p&gt;",""),"&lt;/p&gt;",""),"&lt;ul&gt;",""),"&lt;/ul&gt;",""),"&lt;/strong&gt;",""))</f>
        <v>Prise de contact le 20/04, prospect intéressé par FCPI. Mail de présentation Audacia + Deck FCPI envoyé le 20/04. Pas de retour prospect à date, prochaine étape : attendre feedback suite à l'envoi du deck. Pas d'autres actions prévues pour l'instant. Suivi à poursuivre.</v>
      </c>
      <c r="I23" s="12" cm="1" t="str">
        <f t="array" ref="I23">IF(C23="","",IF(OR(H23="",H23=0,H23=FALSE),"-",H23))</f>
        <v>Prise de contact le 20/04, prospect intéressé par FCPI. Mail de présentation Audacia + Deck FCPI envoyé le 20/04. Pas de retour prospect à date, prochaine étape : attendre feedback suite à l'envoi du deck. Pas d'autres actions prévues pour l'instant. Suivi à poursuivre.</v>
      </c>
      <c r="J23" s="6" t="s">
        <v>95</v>
      </c>
      <c r="K23" s="6" t="s">
        <v>46</v>
      </c>
      <c r="L23" s="6" cm="1" t="str">
        <f t="array" ref="L23">IF(C23="","",IF(K23="Mort / Plus rien à faire","KO","OK"))</f>
        <v>OK</v>
      </c>
      <c r="M23" s="13">
        <v>46133.507731481484</v>
      </c>
      <c r="N23" s="13" cm="1" t="n">
        <f t="array" ref="N23">IF(OR(C23="",M23="",M23=0),"",M23)</f>
        <v>46133.507731481484</v>
      </c>
      <c r="O23" s="13">
        <v>46146.083333333336</v>
      </c>
      <c r="P23" s="13" cm="1" t="n">
        <f t="array" ref="P23">IF(C23="","",IF(OR(O23="",O23=0),"-",O23))</f>
        <v>46146.083333333336</v>
      </c>
      <c r="Q23" s="14">
        <v>0</v>
      </c>
      <c r="R23" s="6" cm="1" t="str">
        <f t="array" ref="R23">IF(C23="","",ROUND(Q23/1000000,3)&amp;" M€")</f>
        <v>0 M€</v>
      </c>
      <c r="S23" s="15">
        <v>30</v>
      </c>
      <c r="T23" s="6" cm="1" t="str">
        <f t="array" ref="T23">IF(C23="","",SUBSTITUTE(S23,"","")&amp;"%")</f>
        <v>30%</v>
      </c>
      <c r="U23" s="12" cm="1" t="str">
        <f t="array" ref="U23">IF(($N23="")*($P23=""),"",IF(($N23&lt;&gt;"")*($N23&gt;TODAY()-9)*($N23&lt;TODAY()+1)*($P23&lt;&gt;"")*($P23&gt;=TODAY())*($P23&lt;=TODAY()+13),"Semaine passée &amp; à venir",IF(($N23&lt;&gt;"")*($N23&gt;TODAY()-9)*($N23&lt;TODAY()+1),"Semaine passée",IF(($P23&lt;&gt;"")*($P23&gt;=TODAY())*($P23&lt;=TODAY()+13),"À venir","Autre"))))</f>
        <v>À venir</v>
      </c>
      <c r="V23" s="5" cm="1" t="n">
        <f t="array" ref="V23">IF(C23&lt;&gt;"",1,0)</f>
        <v>1</v>
      </c>
      <c r="W23" s="5">
</c>
      <c r="X23" s="5">
</c>
      <c r="Y23" s="5">
</c>
      <c r="Z23" s="5">
</c>
      <c r="AA23" s="5">
</c>
      <c r="AB23" s="5">
</c>
      <c r="AC23" s="5">
</c>
      <c r="AD23" s="5">
</c>
      <c r="AE23" s="5">
</c>
      <c r="AF23" s="5">
</c>
      <c r="AG23" s="5">
</c>
      <c r="AH23" s="5">
</c>
      <c r="AI23" s="5">
</c>
      <c r="AJ23" s="5">
</c>
      <c r="AK23" s="5">
</c>
    </row>
    <row r="24" ht="65.25" customHeight="1">
      <c r="A24" s="6" t="s">
        <v>23</v>
      </c>
      <c r="B24" s="6" t="s">
        <v>24</v>
      </c>
      <c r="C24" s="11" t="s">
        <v>96</v>
      </c>
      <c r="D24" s="11" t="s">
        <v>97</v>
      </c>
      <c r="E24" s="6" t="s">
        <v>27</v>
      </c>
      <c r="F24" s="6" t="s">
        <v>98</v>
      </c>
      <c r="G24" s="6" cm="1" t="str">
        <f t="array" ref="G24">IF(F24="","",SUBSTITUTE(SUBSTITUTE(SUBSTITUTE(SUBSTITUTE(F24,"&lt;li&gt;",CHAR(10)),"&lt;/li&gt;",""),"&lt;br&gt;",CHAR(10)),"&lt;strong&gt;",""))</f>
        <v>&lt;p&gt;Multiples échanges et relances depuis janvier pour commercialiser FCPI JEI. Présentation FCPI Audacia, échanges sur défiscalisation, envoi docs le 20/04. RDV physique prévu puis reporté. Intérêt confirmé pour commercialisation, mais timing serré côté prospect. Prochaine étape : relance à prévoir.&lt;/p&gt;</v>
      </c>
      <c r="H24" s="6" cm="1" t="str">
        <f t="array" ref="H24">IF(G24="","",SUBSTITUTE(SUBSTITUTE(SUBSTITUTE(SUBSTITUTE(SUBSTITUTE(G24,"&lt;p&gt;",""),"&lt;/p&gt;",""),"&lt;ul&gt;",""),"&lt;/ul&gt;",""),"&lt;/strong&gt;",""))</f>
        <v>Multiples échanges et relances depuis janvier pour commercialiser FCPI JEI. Présentation FCPI Audacia, échanges sur défiscalisation, envoi docs le 20/04. RDV physique prévu puis reporté. Intérêt confirmé pour commercialisation, mais timing serré côté prospect. Prochaine étape : relance à prévoir.</v>
      </c>
      <c r="I24" s="12" cm="1" t="str">
        <f t="array" ref="I24">IF(C24="","",IF(OR(H24="",H24=0,H24=FALSE),"-",H24))</f>
        <v>Multiples échanges et relances depuis janvier pour commercialiser FCPI JEI. Présentation FCPI Audacia, échanges sur défiscalisation, envoi docs le 20/04. RDV physique prévu puis reporté. Intérêt confirmé pour commercialisation, mais timing serré côté prospect. Prochaine étape : relance à prévoir.</v>
      </c>
      <c r="J24" s="6">
</c>
      <c r="K24" s="6" t="s">
        <v>46</v>
      </c>
      <c r="L24" s="6" cm="1" t="str">
        <f t="array" ref="L24">IF(C24="","",IF(K24="Mort / Plus rien à faire","KO","OK"))</f>
        <v>OK</v>
      </c>
      <c r="M24" s="13">
        <v>46132.61157407407</v>
      </c>
      <c r="N24" s="13" cm="1" t="n">
        <f t="array" ref="N24">IF(OR(C24="",M24="",M24=0),"",M24)</f>
        <v>46132.61157407407</v>
      </c>
      <c r="O24" s="13">
</c>
      <c r="P24" s="13" cm="1" t="str">
        <f t="array" ref="P24">IF(C24="","",IF(OR(O24="",O24=0),"-",O24))</f>
        <v>-</v>
      </c>
      <c r="Q24" s="14">
        <v>0</v>
      </c>
      <c r="R24" s="6" cm="1" t="str">
        <f t="array" ref="R24">IF(C24="","",ROUND(Q24/1000000,3)&amp;" M€")</f>
        <v>0 M€</v>
      </c>
      <c r="S24" s="15">
        <v>30</v>
      </c>
      <c r="T24" s="6" cm="1" t="str">
        <f t="array" ref="T24">IF(C24="","",SUBSTITUTE(S24,"","")&amp;"%")</f>
        <v>30%</v>
      </c>
      <c r="U24" s="12" cm="1" t="str">
        <f t="array" ref="U24">IF(($N24="")*($P24=""),"",IF(($N24&lt;&gt;"")*($N24&gt;TODAY()-9)*($N24&lt;TODAY()+1)*($P24&lt;&gt;"")*($P24&gt;=TODAY())*($P24&lt;=TODAY()+13),"Semaine passée &amp; à venir",IF(($N24&lt;&gt;"")*($N24&gt;TODAY()-9)*($N24&lt;TODAY()+1),"Semaine passée",IF(($P24&lt;&gt;"")*($P24&gt;=TODAY())*($P24&lt;=TODAY()+13),"À venir","Autre"))))</f>
        <v>Autre</v>
      </c>
      <c r="V24" s="5" cm="1" t="n">
        <f t="array" ref="V24">IF(C24&lt;&gt;"",1,0)</f>
        <v>1</v>
      </c>
      <c r="W24" s="5">
</c>
      <c r="X24" s="5">
</c>
      <c r="Y24" s="5">
</c>
      <c r="Z24" s="5">
</c>
      <c r="AA24" s="5">
</c>
      <c r="AB24" s="5">
</c>
      <c r="AC24" s="5">
</c>
      <c r="AD24" s="5">
</c>
      <c r="AE24" s="5">
</c>
      <c r="AF24" s="5">
</c>
      <c r="AG24" s="5">
</c>
      <c r="AH24" s="5">
</c>
      <c r="AI24" s="5">
</c>
      <c r="AJ24" s="5">
</c>
      <c r="AK24" s="5">
</c>
    </row>
    <row r="25" ht="65.25" customHeight="1">
      <c r="A25" s="6" t="s">
        <v>23</v>
      </c>
      <c r="B25" s="6" t="s">
        <v>24</v>
      </c>
      <c r="C25" s="11" t="s">
        <v>99</v>
      </c>
      <c r="D25" s="11" t="s">
        <v>100</v>
      </c>
      <c r="E25" s="6" t="s">
        <v>44</v>
      </c>
      <c r="F25" s="6" t="s">
        <v>101</v>
      </c>
      <c r="G25" s="6" cm="1" t="str">
        <f t="array" ref="G25">IF(F25="","",SUBSTITUTE(SUBSTITUTE(SUBSTITUTE(SUBSTITUTE(F25,"&lt;li&gt;",CHAR(10)),"&lt;/li&gt;",""),"&lt;br&gt;",CHAR(10)),"&lt;strong&gt;",""))</f>
        <v>&lt;p&gt;Intérêt prospect pour FCPI, documentation transmise. Beaucoup de trésorerie d'entreprise, peu de non côté à cause de la durée, société en début d'activité. Pas d'activité complémentaire ni prochaine étape identifiée à ce stade. Suivi à renforcer selon retour sur FCPI.&lt;/p&gt;</v>
      </c>
      <c r="H25" s="6" cm="1" t="str">
        <f t="array" ref="H25">IF(G25="","",SUBSTITUTE(SUBSTITUTE(SUBSTITUTE(SUBSTITUTE(SUBSTITUTE(G25,"&lt;p&gt;",""),"&lt;/p&gt;",""),"&lt;ul&gt;",""),"&lt;/ul&gt;",""),"&lt;/strong&gt;",""))</f>
        <v>Intérêt prospect pour FCPI, documentation transmise. Beaucoup de trésorerie d'entreprise, peu de non côté à cause de la durée, société en début d'activité. Pas d'activité complémentaire ni prochaine étape identifiée à ce stade. Suivi à renforcer selon retour sur FCPI.</v>
      </c>
      <c r="I25" s="12" cm="1" t="str">
        <f t="array" ref="I25">IF(C25="","",IF(OR(H25="",H25=0,H25=FALSE),"-",H25))</f>
        <v>Intérêt prospect pour FCPI, documentation transmise. Beaucoup de trésorerie d'entreprise, peu de non côté à cause de la durée, société en début d'activité. Pas d'activité complémentaire ni prochaine étape identifiée à ce stade. Suivi à renforcer selon retour sur FCPI.</v>
      </c>
      <c r="J25" s="6">
</c>
      <c r="K25" s="6" t="s">
        <v>46</v>
      </c>
      <c r="L25" s="6" cm="1" t="str">
        <f t="array" ref="L25">IF(C25="","",IF(K25="Mort / Plus rien à faire","KO","OK"))</f>
        <v>OK</v>
      </c>
      <c r="M25" s="13">
        <v>46140.44636574074</v>
      </c>
      <c r="N25" s="13" cm="1" t="n">
        <f t="array" ref="N25">IF(OR(C25="",M25="",M25=0),"",M25)</f>
        <v>46140.44636574074</v>
      </c>
      <c r="O25" s="13">
</c>
      <c r="P25" s="13" cm="1" t="str">
        <f t="array" ref="P25">IF(C25="","",IF(OR(O25="",O25=0),"-",O25))</f>
        <v>-</v>
      </c>
      <c r="Q25" s="14">
        <v>0</v>
      </c>
      <c r="R25" s="6" cm="1" t="str">
        <f t="array" ref="R25">IF(C25="","",ROUND(Q25/1000000,3)&amp;" M€")</f>
        <v>0 M€</v>
      </c>
      <c r="S25" s="15">
        <v>30</v>
      </c>
      <c r="T25" s="6" cm="1" t="str">
        <f t="array" ref="T25">IF(C25="","",SUBSTITUTE(S25,"","")&amp;"%")</f>
        <v>30%</v>
      </c>
      <c r="U25" s="12" cm="1" t="str">
        <f t="array" ref="U25">IF(($N25="")*($P25=""),"",IF(($N25&lt;&gt;"")*($N25&gt;TODAY()-9)*($N25&lt;TODAY()+1)*($P25&lt;&gt;"")*($P25&gt;=TODAY())*($P25&lt;=TODAY()+13),"Semaine passée &amp; à venir",IF(($N25&lt;&gt;"")*($N25&gt;TODAY()-9)*($N25&lt;TODAY()+1),"Semaine passée",IF(($P25&lt;&gt;"")*($P25&gt;=TODAY())*($P25&lt;=TODAY()+13),"À venir","Autre"))))</f>
        <v>Semaine passée</v>
      </c>
      <c r="V25" s="5" cm="1" t="n">
        <f t="array" ref="V25">IF(C25&lt;&gt;"",1,0)</f>
        <v>1</v>
      </c>
      <c r="W25" s="5">
</c>
      <c r="X25" s="5">
</c>
      <c r="Y25" s="5">
</c>
      <c r="Z25" s="5">
</c>
      <c r="AA25" s="5">
</c>
      <c r="AB25" s="5">
</c>
      <c r="AC25" s="5">
</c>
      <c r="AD25" s="5">
</c>
      <c r="AE25" s="5">
</c>
      <c r="AF25" s="5">
</c>
      <c r="AG25" s="5">
</c>
      <c r="AH25" s="5">
</c>
      <c r="AI25" s="5">
</c>
      <c r="AJ25" s="5">
</c>
      <c r="AK25" s="5">
</c>
    </row>
    <row r="26" ht="65.25" customHeight="1">
      <c r="A26" s="6" t="s">
        <v>23</v>
      </c>
      <c r="B26" s="6" t="s">
        <v>24</v>
      </c>
      <c r="C26" s="11" t="s">
        <v>102</v>
      </c>
      <c r="D26" s="11" t="s">
        <v>103</v>
      </c>
      <c r="E26" s="6" t="s">
        <v>27</v>
      </c>
      <c r="F26" s="6" t="s">
        <v>104</v>
      </c>
      <c r="G26" s="6" cm="1" t="str">
        <f t="array" ref="G26">IF(F26="","",SUBSTITUTE(SUBSTITUTE(SUBSTITUTE(SUBSTITUTE(F26,"&lt;li&gt;",CHAR(10)),"&lt;/li&gt;",""),"&lt;br&gt;",CHAR(10)),"&lt;strong&gt;",""))</f>
        <v>&lt;p&gt;Rencontre au Salon Next Gen Patrimoine, échanges mails/LinkedIn, proposition RDV envoyée 21/04, offre présentée, prospect (Louis) intéressé, remercie, souhaite recontact début juillet. Suivi à prévoir début juillet, pas d'autres actions immédiates. Cabinet basé Paris/Chateauroux.&lt;/p&gt;</v>
      </c>
      <c r="H26" s="6" cm="1" t="str">
        <f t="array" ref="H26">IF(G26="","",SUBSTITUTE(SUBSTITUTE(SUBSTITUTE(SUBSTITUTE(SUBSTITUTE(G26,"&lt;p&gt;",""),"&lt;/p&gt;",""),"&lt;ul&gt;",""),"&lt;/ul&gt;",""),"&lt;/strong&gt;",""))</f>
        <v>Rencontre au Salon Next Gen Patrimoine, échanges mails/LinkedIn, proposition RDV envoyée 21/04, offre présentée, prospect (Louis) intéressé, remercie, souhaite recontact début juillet. Suivi à prévoir début juillet, pas d'autres actions immédiates. Cabinet basé Paris/Chateauroux.</v>
      </c>
      <c r="I26" s="12" cm="1" t="str">
        <f t="array" ref="I26">IF(C26="","",IF(OR(H26="",H26=0,H26=FALSE),"-",H26))</f>
        <v>Rencontre au Salon Next Gen Patrimoine, échanges mails/LinkedIn, proposition RDV envoyée 21/04, offre présentée, prospect (Louis) intéressé, remercie, souhaite recontact début juillet. Suivi à prévoir début juillet, pas d'autres actions immédiates. Cabinet basé Paris/Chateauroux.</v>
      </c>
      <c r="J26" s="6" t="s">
        <v>105</v>
      </c>
      <c r="K26" s="6" t="s">
        <v>46</v>
      </c>
      <c r="L26" s="6" cm="1" t="str">
        <f t="array" ref="L26">IF(C26="","",IF(K26="Mort / Plus rien à faire","KO","OK"))</f>
        <v>OK</v>
      </c>
      <c r="M26" s="13">
        <v>46139.43796296296</v>
      </c>
      <c r="N26" s="13" cm="1" t="n">
        <f t="array" ref="N26">IF(OR(C26="",M26="",M26=0),"",M26)</f>
        <v>46139.43796296296</v>
      </c>
      <c r="O26" s="13">
        <v>46204.083333333336</v>
      </c>
      <c r="P26" s="13" cm="1" t="n">
        <f t="array" ref="P26">IF(C26="","",IF(OR(O26="",O26=0),"-",O26))</f>
        <v>46204.083333333336</v>
      </c>
      <c r="Q26" s="14">
        <v>0</v>
      </c>
      <c r="R26" s="6" cm="1" t="str">
        <f t="array" ref="R26">IF(C26="","",ROUND(Q26/1000000,3)&amp;" M€")</f>
        <v>0 M€</v>
      </c>
      <c r="S26" s="15">
        <v>20</v>
      </c>
      <c r="T26" s="6" cm="1" t="str">
        <f t="array" ref="T26">IF(C26="","",SUBSTITUTE(S26,"","")&amp;"%")</f>
        <v>20%</v>
      </c>
      <c r="U26" s="12" cm="1" t="str">
        <f t="array" ref="U26">IF(($N26="")*($P26=""),"",IF(($N26&lt;&gt;"")*($N26&gt;TODAY()-9)*($N26&lt;TODAY()+1)*($P26&lt;&gt;"")*($P26&gt;=TODAY())*($P26&lt;=TODAY()+13),"Semaine passée &amp; à venir",IF(($N26&lt;&gt;"")*($N26&gt;TODAY()-9)*($N26&lt;TODAY()+1),"Semaine passée",IF(($P26&lt;&gt;"")*($P26&gt;=TODAY())*($P26&lt;=TODAY()+13),"À venir","Autre"))))</f>
        <v>Semaine passée</v>
      </c>
      <c r="V26" s="5" cm="1" t="n">
        <f t="array" ref="V26">IF(C26&lt;&gt;"",1,0)</f>
        <v>1</v>
      </c>
      <c r="W26" s="5">
</c>
      <c r="X26" s="5">
</c>
      <c r="Y26" s="5">
</c>
      <c r="Z26" s="5">
</c>
      <c r="AA26" s="5">
</c>
      <c r="AB26" s="5">
</c>
      <c r="AC26" s="5">
</c>
      <c r="AD26" s="5">
</c>
      <c r="AE26" s="5">
</c>
      <c r="AF26" s="5">
</c>
      <c r="AG26" s="5">
</c>
      <c r="AH26" s="5">
</c>
      <c r="AI26" s="5">
</c>
      <c r="AJ26" s="5">
</c>
      <c r="AK26" s="5">
</c>
    </row>
    <row r="27" ht="65.25" customHeight="1">
      <c r="A27" s="6" t="s">
        <v>23</v>
      </c>
      <c r="B27" s="6" t="s">
        <v>106</v>
      </c>
      <c r="C27" s="11" t="s">
        <v>107</v>
      </c>
      <c r="D27" s="11" t="s">
        <v>108</v>
      </c>
      <c r="E27" s="6" t="s">
        <v>44</v>
      </c>
      <c r="F27" s="6" t="s">
        <v>109</v>
      </c>
      <c r="G27" s="6" cm="1" t="str">
        <f t="array" ref="G27">IF(F27="","",SUBSTITUTE(SUBSTITUTE(SUBSTITUTE(SUBSTITUTE(F27,"&lt;li&gt;",CHAR(10)),"&lt;/li&gt;",""),"&lt;br&gt;",CHAR(10)),"&lt;strong&gt;",""))</f>
        <v>&lt;p&gt;Contact à prévoir par LG, déjà pitché mais pas à ce niveau. Tentative d’enrichissement lead échouée (email invalide). Nouvelle piste créée pour équipe Ventes. Prochaines étapes&amp;nbsp;: recontacter. Banque Privée EdR&amp;nbsp;: collecte 2Mds€ 2025, marché non coté 20%, clients 10M€ patrimoine, intérêt remploi 150 OB ter.&lt;/p&gt;</v>
      </c>
      <c r="H27" s="6" cm="1" t="str">
        <f t="array" ref="H27">IF(G27="","",SUBSTITUTE(SUBSTITUTE(SUBSTITUTE(SUBSTITUTE(SUBSTITUTE(G27,"&lt;p&gt;",""),"&lt;/p&gt;",""),"&lt;ul&gt;",""),"&lt;/ul&gt;",""),"&lt;/strong&gt;",""))</f>
        <v>Contact à prévoir par LG, déjà pitché mais pas à ce niveau. Tentative d’enrichissement lead échouée (email invalide). Nouvelle piste créée pour équipe Ventes. Prochaines étapes&amp;nbsp;: recontacter. Banque Privée EdR&amp;nbsp;: collecte 2Mds€ 2025, marché non coté 20%, clients 10M€ patrimoine, intérêt remploi 150 OB ter.</v>
      </c>
      <c r="I27" s="12" cm="1" t="str">
        <f t="array" ref="I27">IF(C27="","",IF(OR(H27="",H27=0,H27=FALSE),"-",H27))</f>
        <v>Contact à prévoir par LG, déjà pitché mais pas à ce niveau. Tentative d’enrichissement lead échouée (email invalide). Nouvelle piste créée pour équipe Ventes. Prochaines étapes&amp;nbsp;: recontacter. Banque Privée EdR&amp;nbsp;: collecte 2Mds€ 2025, marché non coté 20%, clients 10M€ patrimoine, intérêt remploi 150 OB ter.</v>
      </c>
      <c r="J27" s="6">
</c>
      <c r="K27" s="6" t="s">
        <v>74</v>
      </c>
      <c r="L27" s="6" cm="1" t="str">
        <f t="array" ref="L27">IF(C27="","",IF(K27="Mort / Plus rien à faire","KO","OK"))</f>
        <v>OK</v>
      </c>
      <c r="M27" s="13">
        <v>46139.63185185185</v>
      </c>
      <c r="N27" s="13" cm="1" t="n">
        <f t="array" ref="N27">IF(OR(C27="",M27="",M27=0),"",M27)</f>
        <v>46139.63185185185</v>
      </c>
      <c r="O27" s="13">
</c>
      <c r="P27" s="13" cm="1" t="str">
        <f t="array" ref="P27">IF(C27="","",IF(OR(O27="",O27=0),"-",O27))</f>
        <v>-</v>
      </c>
      <c r="Q27" s="14">
        <v>0</v>
      </c>
      <c r="R27" s="6" cm="1" t="str">
        <f t="array" ref="R27">IF(C27="","",ROUND(Q27/1000000,3)&amp;" M€")</f>
        <v>0 M€</v>
      </c>
      <c r="S27" s="15">
        <v>10</v>
      </c>
      <c r="T27" s="6" cm="1" t="str">
        <f t="array" ref="T27">IF(C27="","",SUBSTITUTE(S27,"","")&amp;"%")</f>
        <v>10%</v>
      </c>
      <c r="U27" s="12" cm="1" t="str">
        <f t="array" ref="U27">IF(($N27="")*($P27=""),"",IF(($N27&lt;&gt;"")*($N27&gt;TODAY()-9)*($N27&lt;TODAY()+1)*($P27&lt;&gt;"")*($P27&gt;=TODAY())*($P27&lt;=TODAY()+13),"Semaine passée &amp; à venir",IF(($N27&lt;&gt;"")*($N27&gt;TODAY()-9)*($N27&lt;TODAY()+1),"Semaine passée",IF(($P27&lt;&gt;"")*($P27&gt;=TODAY())*($P27&lt;=TODAY()+13),"À venir","Autre"))))</f>
        <v>Semaine passée</v>
      </c>
      <c r="V27" s="5" cm="1" t="n">
        <f t="array" ref="V27">IF(C27&lt;&gt;"",1,0)</f>
        <v>1</v>
      </c>
      <c r="W27" s="5">
</c>
      <c r="X27" s="5">
</c>
      <c r="Y27" s="5">
</c>
      <c r="Z27" s="5">
</c>
      <c r="AA27" s="5">
</c>
      <c r="AB27" s="5">
</c>
      <c r="AC27" s="5">
</c>
      <c r="AD27" s="5">
</c>
      <c r="AE27" s="5">
</c>
      <c r="AF27" s="5">
</c>
      <c r="AG27" s="5">
</c>
      <c r="AH27" s="5">
</c>
      <c r="AI27" s="5">
</c>
      <c r="AJ27" s="5">
</c>
      <c r="AK27" s="5">
</c>
    </row>
    <row r="28" ht="65.25" customHeight="1">
      <c r="A28" s="6" t="s">
        <v>23</v>
      </c>
      <c r="B28" s="6" t="s">
        <v>69</v>
      </c>
      <c r="C28" s="11" t="s">
        <v>110</v>
      </c>
      <c r="D28" s="11" t="s">
        <v>111</v>
      </c>
      <c r="E28" s="6" t="s">
        <v>44</v>
      </c>
      <c r="F28" s="6" t="s">
        <v>112</v>
      </c>
      <c r="G28" s="6" cm="1" t="str">
        <f t="array" ref="G28">IF(F28="","",SUBSTITUTE(SUBSTITUTE(SUBSTITUTE(SUBSTITUTE(F28,"&lt;li&gt;",CHAR(10)),"&lt;/li&gt;",""),"&lt;br&gt;",CHAR(10)),"&lt;strong&gt;",""))</f>
        <v>&lt;p&gt;Piste créée pour équipe Ventes. Enrichissement impossible (email invalide). Déjà pitché, à recontacter par LG, sont partenaires chez nous. Pas d'autres actions ou retours prospects mentionnés. Prochaine étape : prise de contact par LG.&lt;/p&gt;</v>
      </c>
      <c r="H28" s="6" cm="1" t="str">
        <f t="array" ref="H28">IF(G28="","",SUBSTITUTE(SUBSTITUTE(SUBSTITUTE(SUBSTITUTE(SUBSTITUTE(G28,"&lt;p&gt;",""),"&lt;/p&gt;",""),"&lt;ul&gt;",""),"&lt;/ul&gt;",""),"&lt;/strong&gt;",""))</f>
        <v>Piste créée pour équipe Ventes. Enrichissement impossible (email invalide). Déjà pitché, à recontacter par LG, sont partenaires chez nous. Pas d'autres actions ou retours prospects mentionnés. Prochaine étape : prise de contact par LG.</v>
      </c>
      <c r="I28" s="12" cm="1" t="str">
        <f t="array" ref="I28">IF(C28="","",IF(OR(H28="",H28=0,H28=FALSE),"-",H28))</f>
        <v>Piste créée pour équipe Ventes. Enrichissement impossible (email invalide). Déjà pitché, à recontacter par LG, sont partenaires chez nous. Pas d'autres actions ou retours prospects mentionnés. Prochaine étape : prise de contact par LG.</v>
      </c>
      <c r="J28" s="6">
</c>
      <c r="K28" s="6" t="s">
        <v>74</v>
      </c>
      <c r="L28" s="6" cm="1" t="str">
        <f t="array" ref="L28">IF(C28="","",IF(K28="Mort / Plus rien à faire","KO","OK"))</f>
        <v>OK</v>
      </c>
      <c r="M28" s="13">
        <v>46139.6309375</v>
      </c>
      <c r="N28" s="13" cm="1" t="n">
        <f t="array" ref="N28">IF(OR(C28="",M28="",M28=0),"",M28)</f>
        <v>46139.6309375</v>
      </c>
      <c r="O28" s="13">
</c>
      <c r="P28" s="13" cm="1" t="str">
        <f t="array" ref="P28">IF(C28="","",IF(OR(O28="",O28=0),"-",O28))</f>
        <v>-</v>
      </c>
      <c r="Q28" s="14">
        <v>0</v>
      </c>
      <c r="R28" s="6" cm="1" t="str">
        <f t="array" ref="R28">IF(C28="","",ROUND(Q28/1000000,3)&amp;" M€")</f>
        <v>0 M€</v>
      </c>
      <c r="S28" s="15">
        <v>10</v>
      </c>
      <c r="T28" s="6" cm="1" t="str">
        <f t="array" ref="T28">IF(C28="","",SUBSTITUTE(S28,"","")&amp;"%")</f>
        <v>10%</v>
      </c>
      <c r="U28" s="12" cm="1" t="str">
        <f t="array" ref="U28">IF(($N28="")*($P28=""),"",IF(($N28&lt;&gt;"")*($N28&gt;TODAY()-9)*($N28&lt;TODAY()+1)*($P28&lt;&gt;"")*($P28&gt;=TODAY())*($P28&lt;=TODAY()+13),"Semaine passée &amp; à venir",IF(($N28&lt;&gt;"")*($N28&gt;TODAY()-9)*($N28&lt;TODAY()+1),"Semaine passée",IF(($P28&lt;&gt;"")*($P28&gt;=TODAY())*($P28&lt;=TODAY()+13),"À venir","Autre"))))</f>
        <v>Semaine passée</v>
      </c>
      <c r="V28" s="5" cm="1" t="n">
        <f t="array" ref="V28">IF(C28&lt;&gt;"",1,0)</f>
        <v>1</v>
      </c>
      <c r="W28" s="5">
</c>
      <c r="X28" s="5">
</c>
      <c r="Y28" s="5">
</c>
      <c r="Z28" s="5">
</c>
      <c r="AA28" s="5">
</c>
      <c r="AB28" s="5">
</c>
      <c r="AC28" s="5">
</c>
      <c r="AD28" s="5">
</c>
      <c r="AE28" s="5">
</c>
      <c r="AF28" s="5">
</c>
      <c r="AG28" s="5">
</c>
      <c r="AH28" s="5">
</c>
      <c r="AI28" s="5">
</c>
      <c r="AJ28" s="5">
</c>
      <c r="AK28" s="5">
</c>
    </row>
    <row r="29" ht="65.25" customHeight="1">
      <c r="A29" s="6" t="s">
        <v>23</v>
      </c>
      <c r="B29" s="6" t="s">
        <v>24</v>
      </c>
      <c r="C29" s="11" t="s">
        <v>113</v>
      </c>
      <c r="D29" s="11" t="s">
        <v>114</v>
      </c>
      <c r="E29" s="6" t="s">
        <v>44</v>
      </c>
      <c r="F29" s="6" t="s">
        <v>115</v>
      </c>
      <c r="G29" s="6" cm="1" t="str">
        <f t="array" ref="G29">IF(F29="","",SUBSTITUTE(SUBSTITUTE(SUBSTITUTE(SUBSTITUTE(F29,"&lt;li&gt;",CHAR(10)),"&lt;/li&gt;",""),"&lt;br&gt;",CHAR(10)),"&lt;strong&gt;",""))</f>
        <v>&lt;p&gt;Nouvelle piste créée équipe Ventes. Premier contact à prévoir par LG, déjà pitché par Charles. Enrichissement lead impossible, email non valide. Aucun retour prospect ni activité complémentaire enregistrée. Prochaine étape : prise de contact par LG.&lt;/p&gt;</v>
      </c>
      <c r="H29" s="6" cm="1" t="str">
        <f t="array" ref="H29">IF(G29="","",SUBSTITUTE(SUBSTITUTE(SUBSTITUTE(SUBSTITUTE(SUBSTITUTE(G29,"&lt;p&gt;",""),"&lt;/p&gt;",""),"&lt;ul&gt;",""),"&lt;/ul&gt;",""),"&lt;/strong&gt;",""))</f>
        <v>Nouvelle piste créée équipe Ventes. Premier contact à prévoir par LG, déjà pitché par Charles. Enrichissement lead impossible, email non valide. Aucun retour prospect ni activité complémentaire enregistrée. Prochaine étape : prise de contact par LG.</v>
      </c>
      <c r="I29" s="12" cm="1" t="str">
        <f t="array" ref="I29">IF(C29="","",IF(OR(H29="",H29=0,H29=FALSE),"-",H29))</f>
        <v>Nouvelle piste créée équipe Ventes. Premier contact à prévoir par LG, déjà pitché par Charles. Enrichissement lead impossible, email non valide. Aucun retour prospect ni activité complémentaire enregistrée. Prochaine étape : prise de contact par LG.</v>
      </c>
      <c r="J29" s="6">
</c>
      <c r="K29" s="6" t="s">
        <v>74</v>
      </c>
      <c r="L29" s="6" cm="1" t="str">
        <f t="array" ref="L29">IF(C29="","",IF(K29="Mort / Plus rien à faire","KO","OK"))</f>
        <v>OK</v>
      </c>
      <c r="M29" s="13">
        <v>46139.630578703705</v>
      </c>
      <c r="N29" s="13" cm="1" t="n">
        <f t="array" ref="N29">IF(OR(C29="",M29="",M29=0),"",M29)</f>
        <v>46139.630578703705</v>
      </c>
      <c r="O29" s="13">
</c>
      <c r="P29" s="13" cm="1" t="str">
        <f t="array" ref="P29">IF(C29="","",IF(OR(O29="",O29=0),"-",O29))</f>
        <v>-</v>
      </c>
      <c r="Q29" s="14">
        <v>0</v>
      </c>
      <c r="R29" s="6" cm="1" t="str">
        <f t="array" ref="R29">IF(C29="","",ROUND(Q29/1000000,3)&amp;" M€")</f>
        <v>0 M€</v>
      </c>
      <c r="S29" s="15">
        <v>10</v>
      </c>
      <c r="T29" s="6" cm="1" t="str">
        <f t="array" ref="T29">IF(C29="","",SUBSTITUTE(S29,"","")&amp;"%")</f>
        <v>10%</v>
      </c>
      <c r="U29" s="12" cm="1" t="str">
        <f t="array" ref="U29">IF(($N29="")*($P29=""),"",IF(($N29&lt;&gt;"")*($N29&gt;TODAY()-9)*($N29&lt;TODAY()+1)*($P29&lt;&gt;"")*($P29&gt;=TODAY())*($P29&lt;=TODAY()+13),"Semaine passée &amp; à venir",IF(($N29&lt;&gt;"")*($N29&gt;TODAY()-9)*($N29&lt;TODAY()+1),"Semaine passée",IF(($P29&lt;&gt;"")*($P29&gt;=TODAY())*($P29&lt;=TODAY()+13),"À venir","Autre"))))</f>
        <v>Semaine passée</v>
      </c>
      <c r="V29" s="5" cm="1" t="n">
        <f t="array" ref="V29">IF(C29&lt;&gt;"",1,0)</f>
        <v>1</v>
      </c>
      <c r="W29" s="5">
</c>
      <c r="X29" s="5">
</c>
      <c r="Y29" s="5">
</c>
      <c r="Z29" s="5">
</c>
      <c r="AA29" s="5">
</c>
      <c r="AB29" s="5">
</c>
      <c r="AC29" s="5">
</c>
      <c r="AD29" s="5">
</c>
      <c r="AE29" s="5">
</c>
      <c r="AF29" s="5">
</c>
      <c r="AG29" s="5">
</c>
      <c r="AH29" s="5">
</c>
      <c r="AI29" s="5">
</c>
      <c r="AJ29" s="5">
</c>
      <c r="AK29" s="5">
</c>
    </row>
    <row r="30" ht="65.25" customHeight="1">
      <c r="A30" s="6" t="s">
        <v>23</v>
      </c>
      <c r="B30" s="6" t="s">
        <v>106</v>
      </c>
      <c r="C30" s="11" t="s">
        <v>116</v>
      </c>
      <c r="D30" s="11" t="s">
        <v>117</v>
      </c>
      <c r="E30" s="6" t="s">
        <v>44</v>
      </c>
      <c r="F30" s="6" t="s">
        <v>118</v>
      </c>
      <c r="G30" s="6" cm="1" t="str">
        <f t="array" ref="G30">IF(F30="","",SUBSTITUTE(SUBSTITUTE(SUBSTITUTE(SUBSTITUTE(F30,"&lt;li&gt;",CHAR(10)),"&lt;/li&gt;",""),"&lt;br&gt;",CHAR(10)),"&lt;strong&gt;",""))</f>
        <v>&lt;p&gt;Nouvelle piste créée équipe Ventes. Enrichissement impossible (email invalide). Déjà pitché mais pas à ce niveau, à recontacter par LG. Pas d'autres actions ou retours prospect. Prochaine étape&amp;nbsp;: prise de contact par LG. Aucun retour prospect sur fonds présentés à ce stade.&lt;/p&gt;</v>
      </c>
      <c r="H30" s="6" cm="1" t="str">
        <f t="array" ref="H30">IF(G30="","",SUBSTITUTE(SUBSTITUTE(SUBSTITUTE(SUBSTITUTE(SUBSTITUTE(G30,"&lt;p&gt;",""),"&lt;/p&gt;",""),"&lt;ul&gt;",""),"&lt;/ul&gt;",""),"&lt;/strong&gt;",""))</f>
        <v>Nouvelle piste créée équipe Ventes. Enrichissement impossible (email invalide). Déjà pitché mais pas à ce niveau, à recontacter par LG. Pas d'autres actions ou retours prospect. Prochaine étape&amp;nbsp;: prise de contact par LG. Aucun retour prospect sur fonds présentés à ce stade.</v>
      </c>
      <c r="I30" s="12" cm="1" t="str">
        <f t="array" ref="I30">IF(C30="","",IF(OR(H30="",H30=0,H30=FALSE),"-",H30))</f>
        <v>Nouvelle piste créée équipe Ventes. Enrichissement impossible (email invalide). Déjà pitché mais pas à ce niveau, à recontacter par LG. Pas d'autres actions ou retours prospect. Prochaine étape&amp;nbsp;: prise de contact par LG. Aucun retour prospect sur fonds présentés à ce stade.</v>
      </c>
      <c r="J30" s="6">
</c>
      <c r="K30" s="6" t="s">
        <v>74</v>
      </c>
      <c r="L30" s="6" cm="1" t="str">
        <f t="array" ref="L30">IF(C30="","",IF(K30="Mort / Plus rien à faire","KO","OK"))</f>
        <v>OK</v>
      </c>
      <c r="M30" s="13">
        <v>46139.63013888889</v>
      </c>
      <c r="N30" s="13" cm="1" t="n">
        <f t="array" ref="N30">IF(OR(C30="",M30="",M30=0),"",M30)</f>
        <v>46139.63013888889</v>
      </c>
      <c r="O30" s="13">
</c>
      <c r="P30" s="13" cm="1" t="str">
        <f t="array" ref="P30">IF(C30="","",IF(OR(O30="",O30=0),"-",O30))</f>
        <v>-</v>
      </c>
      <c r="Q30" s="14">
        <v>0</v>
      </c>
      <c r="R30" s="6" cm="1" t="str">
        <f t="array" ref="R30">IF(C30="","",ROUND(Q30/1000000,3)&amp;" M€")</f>
        <v>0 M€</v>
      </c>
      <c r="S30" s="15">
        <v>10</v>
      </c>
      <c r="T30" s="6" cm="1" t="str">
        <f t="array" ref="T30">IF(C30="","",SUBSTITUTE(S30,"","")&amp;"%")</f>
        <v>10%</v>
      </c>
      <c r="U30" s="12" cm="1" t="str">
        <f t="array" ref="U30">IF(($N30="")*($P30=""),"",IF(($N30&lt;&gt;"")*($N30&gt;TODAY()-9)*($N30&lt;TODAY()+1)*($P30&lt;&gt;"")*($P30&gt;=TODAY())*($P30&lt;=TODAY()+13),"Semaine passée &amp; à venir",IF(($N30&lt;&gt;"")*($N30&gt;TODAY()-9)*($N30&lt;TODAY()+1),"Semaine passée",IF(($P30&lt;&gt;"")*($P30&gt;=TODAY())*($P30&lt;=TODAY()+13),"À venir","Autre"))))</f>
        <v>Semaine passée</v>
      </c>
      <c r="V30" s="5" cm="1" t="n">
        <f t="array" ref="V30">IF(C30&lt;&gt;"",1,0)</f>
        <v>1</v>
      </c>
      <c r="W30" s="5">
</c>
      <c r="X30" s="5">
</c>
      <c r="Y30" s="5">
</c>
      <c r="Z30" s="5">
</c>
      <c r="AA30" s="5">
</c>
      <c r="AB30" s="5">
</c>
      <c r="AC30" s="5">
</c>
      <c r="AD30" s="5">
</c>
      <c r="AE30" s="5">
</c>
      <c r="AF30" s="5">
</c>
      <c r="AG30" s="5">
</c>
      <c r="AH30" s="5">
</c>
      <c r="AI30" s="5">
</c>
      <c r="AJ30" s="5">
</c>
      <c r="AK30" s="5">
</c>
    </row>
    <row r="31" ht="65.25" customHeight="1">
      <c r="A31" s="6" t="s">
        <v>23</v>
      </c>
      <c r="B31" s="6">
</c>
      <c r="C31" s="11" t="s">
        <v>119</v>
      </c>
      <c r="D31" s="11" t="s">
        <v>120</v>
      </c>
      <c r="E31" s="6" t="s">
        <v>44</v>
      </c>
      <c r="F31" s="6" t="s">
        <v>121</v>
      </c>
      <c r="G31" s="6" cm="1" t="str">
        <f t="array" ref="G31">IF(F31="","",SUBSTITUTE(SUBSTITUTE(SUBSTITUTE(SUBSTITUTE(F31,"&lt;li&gt;",CHAR(10)),"&lt;/li&gt;",""),"&lt;br&gt;",CHAR(10)),"&lt;strong&gt;",""))</f>
        <v>&lt;p&gt;Nouvelle piste créée équipe Ventes. Enrichissement lead impossible (email invalide). Déjà pitché mais pas à ce niveau, à recontacter par LG. Pas d'autres actions ou retours prospect. Prochaine étape : prise de contact par LG. Aucun passage en comité mentionné.&lt;/p&gt;</v>
      </c>
      <c r="H31" s="6" cm="1" t="str">
        <f t="array" ref="H31">IF(G31="","",SUBSTITUTE(SUBSTITUTE(SUBSTITUTE(SUBSTITUTE(SUBSTITUTE(G31,"&lt;p&gt;",""),"&lt;/p&gt;",""),"&lt;ul&gt;",""),"&lt;/ul&gt;",""),"&lt;/strong&gt;",""))</f>
        <v>Nouvelle piste créée équipe Ventes. Enrichissement lead impossible (email invalide). Déjà pitché mais pas à ce niveau, à recontacter par LG. Pas d'autres actions ou retours prospect. Prochaine étape : prise de contact par LG. Aucun passage en comité mentionné.</v>
      </c>
      <c r="I31" s="12" cm="1" t="str">
        <f t="array" ref="I31">IF(C31="","",IF(OR(H31="",H31=0,H31=FALSE),"-",H31))</f>
        <v>Nouvelle piste créée équipe Ventes. Enrichissement lead impossible (email invalide). Déjà pitché mais pas à ce niveau, à recontacter par LG. Pas d'autres actions ou retours prospect. Prochaine étape : prise de contact par LG. Aucun passage en comité mentionné.</v>
      </c>
      <c r="J31" s="6">
</c>
      <c r="K31" s="6" t="s">
        <v>74</v>
      </c>
      <c r="L31" s="6" cm="1" t="str">
        <f t="array" ref="L31">IF(C31="","",IF(K31="Mort / Plus rien à faire","KO","OK"))</f>
        <v>OK</v>
      </c>
      <c r="M31" s="13">
        <v>46139.629895833335</v>
      </c>
      <c r="N31" s="13" cm="1" t="n">
        <f t="array" ref="N31">IF(OR(C31="",M31="",M31=0),"",M31)</f>
        <v>46139.629895833335</v>
      </c>
      <c r="O31" s="13">
</c>
      <c r="P31" s="13" cm="1" t="str">
        <f t="array" ref="P31">IF(C31="","",IF(OR(O31="",O31=0),"-",O31))</f>
        <v>-</v>
      </c>
      <c r="Q31" s="14">
        <v>0</v>
      </c>
      <c r="R31" s="6" cm="1" t="str">
        <f t="array" ref="R31">IF(C31="","",ROUND(Q31/1000000,3)&amp;" M€")</f>
        <v>0 M€</v>
      </c>
      <c r="S31" s="15">
        <v>10</v>
      </c>
      <c r="T31" s="6" cm="1" t="str">
        <f t="array" ref="T31">IF(C31="","",SUBSTITUTE(S31,"","")&amp;"%")</f>
        <v>10%</v>
      </c>
      <c r="U31" s="12" cm="1" t="str">
        <f t="array" ref="U31">IF(($N31="")*($P31=""),"",IF(($N31&lt;&gt;"")*($N31&gt;TODAY()-9)*($N31&lt;TODAY()+1)*($P31&lt;&gt;"")*($P31&gt;=TODAY())*($P31&lt;=TODAY()+13),"Semaine passée &amp; à venir",IF(($N31&lt;&gt;"")*($N31&gt;TODAY()-9)*($N31&lt;TODAY()+1),"Semaine passée",IF(($P31&lt;&gt;"")*($P31&gt;=TODAY())*($P31&lt;=TODAY()+13),"À venir","Autre"))))</f>
        <v>Semaine passée</v>
      </c>
      <c r="V31" s="5" cm="1" t="n">
        <f t="array" ref="V31">IF(C31&lt;&gt;"",1,0)</f>
        <v>1</v>
      </c>
      <c r="W31" s="5">
</c>
      <c r="X31" s="5">
</c>
      <c r="Y31" s="5">
</c>
      <c r="Z31" s="5">
</c>
      <c r="AA31" s="5">
</c>
      <c r="AB31" s="5">
</c>
      <c r="AC31" s="5">
</c>
      <c r="AD31" s="5">
</c>
      <c r="AE31" s="5">
</c>
      <c r="AF31" s="5">
</c>
      <c r="AG31" s="5">
</c>
      <c r="AH31" s="5">
</c>
      <c r="AI31" s="5">
</c>
      <c r="AJ31" s="5">
</c>
      <c r="AK31" s="5">
</c>
    </row>
    <row r="32" ht="65.25" customHeight="1">
      <c r="A32" s="6" t="s">
        <v>23</v>
      </c>
      <c r="B32" s="6">
</c>
      <c r="C32" s="11" t="s">
        <v>122</v>
      </c>
      <c r="D32" s="11" t="s">
        <v>123</v>
      </c>
      <c r="E32" s="6" t="s">
        <v>44</v>
      </c>
      <c r="F32" s="6" t="s">
        <v>124</v>
      </c>
      <c r="G32" s="6" cm="1" t="str">
        <f t="array" ref="G32">IF(F32="","",SUBSTITUTE(SUBSTITUTE(SUBSTITUTE(SUBSTITUTE(F32,"&lt;li&gt;",CHAR(10)),"&lt;/li&gt;",""),"&lt;br&gt;",CHAR(10)),"&lt;strong&gt;",""))</f>
        <v>&lt;p&gt;Nouvelle piste créée équipe Ventes. Enrichissement impossible (email non valide). Prospect déjà pitché, à recontacter par LG. Pas d'autres actions ou retours prospect mentionnés. Prochaines étapes&amp;nbsp;: relance à prévoir par LG. Pas d'indication sur avis prospect ou contexte création piste.&lt;/p&gt;</v>
      </c>
      <c r="H32" s="6" cm="1" t="str">
        <f t="array" ref="H32">IF(G32="","",SUBSTITUTE(SUBSTITUTE(SUBSTITUTE(SUBSTITUTE(SUBSTITUTE(G32,"&lt;p&gt;",""),"&lt;/p&gt;",""),"&lt;ul&gt;",""),"&lt;/ul&gt;",""),"&lt;/strong&gt;",""))</f>
        <v>Nouvelle piste créée équipe Ventes. Enrichissement impossible (email non valide). Prospect déjà pitché, à recontacter par LG. Pas d'autres actions ou retours prospect mentionnés. Prochaines étapes&amp;nbsp;: relance à prévoir par LG. Pas d'indication sur avis prospect ou contexte création piste.</v>
      </c>
      <c r="I32" s="12" cm="1" t="str">
        <f t="array" ref="I32">IF(C32="","",IF(OR(H32="",H32=0,H32=FALSE),"-",H32))</f>
        <v>Nouvelle piste créée équipe Ventes. Enrichissement impossible (email non valide). Prospect déjà pitché, à recontacter par LG. Pas d'autres actions ou retours prospect mentionnés. Prochaines étapes&amp;nbsp;: relance à prévoir par LG. Pas d'indication sur avis prospect ou contexte création piste.</v>
      </c>
      <c r="J32" s="6">
</c>
      <c r="K32" s="6" t="s">
        <v>74</v>
      </c>
      <c r="L32" s="6" cm="1" t="str">
        <f t="array" ref="L32">IF(C32="","",IF(K32="Mort / Plus rien à faire","KO","OK"))</f>
        <v>OK</v>
      </c>
      <c r="M32" s="13">
        <v>46139.62961805556</v>
      </c>
      <c r="N32" s="13" cm="1" t="n">
        <f t="array" ref="N32">IF(OR(C32="",M32="",M32=0),"",M32)</f>
        <v>46139.62961805556</v>
      </c>
      <c r="O32" s="13">
</c>
      <c r="P32" s="13" cm="1" t="str">
        <f t="array" ref="P32">IF(C32="","",IF(OR(O32="",O32=0),"-",O32))</f>
        <v>-</v>
      </c>
      <c r="Q32" s="14">
        <v>0</v>
      </c>
      <c r="R32" s="6" cm="1" t="str">
        <f t="array" ref="R32">IF(C32="","",ROUND(Q32/1000000,3)&amp;" M€")</f>
        <v>0 M€</v>
      </c>
      <c r="S32" s="15">
        <v>10</v>
      </c>
      <c r="T32" s="6" cm="1" t="str">
        <f t="array" ref="T32">IF(C32="","",SUBSTITUTE(S32,"","")&amp;"%")</f>
        <v>10%</v>
      </c>
      <c r="U32" s="12" cm="1" t="str">
        <f t="array" ref="U32">IF(($N32="")*($P32=""),"",IF(($N32&lt;&gt;"")*($N32&gt;TODAY()-9)*($N32&lt;TODAY()+1)*($P32&lt;&gt;"")*($P32&gt;=TODAY())*($P32&lt;=TODAY()+13),"Semaine passée &amp; à venir",IF(($N32&lt;&gt;"")*($N32&gt;TODAY()-9)*($N32&lt;TODAY()+1),"Semaine passée",IF(($P32&lt;&gt;"")*($P32&gt;=TODAY())*($P32&lt;=TODAY()+13),"À venir","Autre"))))</f>
        <v>Semaine passée</v>
      </c>
      <c r="V32" s="5" cm="1" t="n">
        <f t="array" ref="V32">IF(C32&lt;&gt;"",1,0)</f>
        <v>1</v>
      </c>
      <c r="W32" s="5">
</c>
      <c r="X32" s="5">
</c>
      <c r="Y32" s="5">
</c>
      <c r="Z32" s="5">
</c>
      <c r="AA32" s="5">
</c>
      <c r="AB32" s="5">
</c>
      <c r="AC32" s="5">
</c>
      <c r="AD32" s="5">
</c>
      <c r="AE32" s="5">
</c>
      <c r="AF32" s="5">
</c>
      <c r="AG32" s="5">
</c>
      <c r="AH32" s="5">
</c>
      <c r="AI32" s="5">
</c>
      <c r="AJ32" s="5">
</c>
      <c r="AK32" s="5">
</c>
    </row>
    <row r="33" ht="65.25" customHeight="1">
      <c r="A33" s="6" t="s">
        <v>23</v>
      </c>
      <c r="B33" s="6" t="s">
        <v>125</v>
      </c>
      <c r="C33" s="11" t="s">
        <v>126</v>
      </c>
      <c r="D33" s="11" t="s">
        <v>127</v>
      </c>
      <c r="E33" s="6" t="s">
        <v>44</v>
      </c>
      <c r="F33" s="6" t="s">
        <v>128</v>
      </c>
      <c r="G33" s="6" cm="1" t="str">
        <f t="array" ref="G33">IF(F33="","",SUBSTITUTE(SUBSTITUTE(SUBSTITUTE(SUBSTITUTE(F33,"&lt;li&gt;",CHAR(10)),"&lt;/li&gt;",""),"&lt;br&gt;",CHAR(10)),"&lt;strong&gt;",""))</f>
        <v>&lt;p&gt;Nouvelle piste créée pour équipe Ventes. Enrichissement lead impossible (email invalide). Prospect déjà pitché, à recontacter par LG. Pas d'autres actions ni retours prospect sur fonds présentés. Prochaine étape&amp;nbsp;: prise de contact par LG. Aucun passage en comité mentionné.&lt;/p&gt;</v>
      </c>
      <c r="H33" s="6" cm="1" t="str">
        <f t="array" ref="H33">IF(G33="","",SUBSTITUTE(SUBSTITUTE(SUBSTITUTE(SUBSTITUTE(SUBSTITUTE(G33,"&lt;p&gt;",""),"&lt;/p&gt;",""),"&lt;ul&gt;",""),"&lt;/ul&gt;",""),"&lt;/strong&gt;",""))</f>
        <v>Nouvelle piste créée pour équipe Ventes. Enrichissement lead impossible (email invalide). Prospect déjà pitché, à recontacter par LG. Pas d'autres actions ni retours prospect sur fonds présentés. Prochaine étape&amp;nbsp;: prise de contact par LG. Aucun passage en comité mentionné.</v>
      </c>
      <c r="I33" s="12" cm="1" t="str">
        <f t="array" ref="I33">IF(C33="","",IF(OR(H33="",H33=0,H33=FALSE),"-",H33))</f>
        <v>Nouvelle piste créée pour équipe Ventes. Enrichissement lead impossible (email invalide). Prospect déjà pitché, à recontacter par LG. Pas d'autres actions ni retours prospect sur fonds présentés. Prochaine étape&amp;nbsp;: prise de contact par LG. Aucun passage en comité mentionné.</v>
      </c>
      <c r="J33" s="6">
</c>
      <c r="K33" s="6" t="s">
        <v>74</v>
      </c>
      <c r="L33" s="6" cm="1" t="str">
        <f t="array" ref="L33">IF(C33="","",IF(K33="Mort / Plus rien à faire","KO","OK"))</f>
        <v>OK</v>
      </c>
      <c r="M33" s="13">
        <v>46139.62944444444</v>
      </c>
      <c r="N33" s="13" cm="1" t="n">
        <f t="array" ref="N33">IF(OR(C33="",M33="",M33=0),"",M33)</f>
        <v>46139.62944444444</v>
      </c>
      <c r="O33" s="13">
</c>
      <c r="P33" s="13" cm="1" t="str">
        <f t="array" ref="P33">IF(C33="","",IF(OR(O33="",O33=0),"-",O33))</f>
        <v>-</v>
      </c>
      <c r="Q33" s="14">
        <v>0</v>
      </c>
      <c r="R33" s="6" cm="1" t="str">
        <f t="array" ref="R33">IF(C33="","",ROUND(Q33/1000000,3)&amp;" M€")</f>
        <v>0 M€</v>
      </c>
      <c r="S33" s="15">
        <v>10</v>
      </c>
      <c r="T33" s="6" cm="1" t="str">
        <f t="array" ref="T33">IF(C33="","",SUBSTITUTE(S33,"","")&amp;"%")</f>
        <v>10%</v>
      </c>
      <c r="U33" s="12" cm="1" t="str">
        <f t="array" ref="U33">IF(($N33="")*($P33=""),"",IF(($N33&lt;&gt;"")*($N33&gt;TODAY()-9)*($N33&lt;TODAY()+1)*($P33&lt;&gt;"")*($P33&gt;=TODAY())*($P33&lt;=TODAY()+13),"Semaine passée &amp; à venir",IF(($N33&lt;&gt;"")*($N33&gt;TODAY()-9)*($N33&lt;TODAY()+1),"Semaine passée",IF(($P33&lt;&gt;"")*($P33&gt;=TODAY())*($P33&lt;=TODAY()+13),"À venir","Autre"))))</f>
        <v>Semaine passée</v>
      </c>
      <c r="V33" s="5" cm="1" t="n">
        <f t="array" ref="V33">IF(C33&lt;&gt;"",1,0)</f>
        <v>1</v>
      </c>
      <c r="W33" s="5">
</c>
      <c r="X33" s="5">
</c>
      <c r="Y33" s="5">
</c>
      <c r="Z33" s="5">
</c>
      <c r="AA33" s="5">
</c>
      <c r="AB33" s="5">
</c>
      <c r="AC33" s="5">
</c>
      <c r="AD33" s="5">
</c>
      <c r="AE33" s="5">
</c>
      <c r="AF33" s="5">
</c>
      <c r="AG33" s="5">
</c>
      <c r="AH33" s="5">
</c>
      <c r="AI33" s="5">
</c>
      <c r="AJ33" s="5">
</c>
      <c r="AK33" s="5">
</c>
    </row>
    <row r="34" ht="65.25" customHeight="1">
      <c r="A34" s="6" t="s">
        <v>23</v>
      </c>
      <c r="B34" s="6">
</c>
      <c r="C34" s="11" t="s">
        <v>129</v>
      </c>
      <c r="D34" s="11" t="s">
        <v>130</v>
      </c>
      <c r="E34" s="6" t="s">
        <v>44</v>
      </c>
      <c r="F34" s="6" t="s">
        <v>131</v>
      </c>
      <c r="G34" s="6" cm="1" t="str">
        <f t="array" ref="G34">IF(F34="","",SUBSTITUTE(SUBSTITUTE(SUBSTITUTE(SUBSTITUTE(F34,"&lt;li&gt;",CHAR(10)),"&lt;/li&gt;",""),"&lt;br&gt;",CHAR(10)),"&lt;strong&gt;",""))</f>
        <v>&lt;p&gt;Nouvelle piste créée pour équipe Ventes. Pitch effectué par Thomas Guyot, à recontacter par LG. Tentative d'enrichissement lead échouée (email non valide). Prochaine action : prise de contact par LG. Pas d'autres activités ou retours prospect mentionnés à ce stade.&lt;/p&gt;</v>
      </c>
      <c r="H34" s="6" cm="1" t="str">
        <f t="array" ref="H34">IF(G34="","",SUBSTITUTE(SUBSTITUTE(SUBSTITUTE(SUBSTITUTE(SUBSTITUTE(G34,"&lt;p&gt;",""),"&lt;/p&gt;",""),"&lt;ul&gt;",""),"&lt;/ul&gt;",""),"&lt;/strong&gt;",""))</f>
        <v>Nouvelle piste créée pour équipe Ventes. Pitch effectué par Thomas Guyot, à recontacter par LG. Tentative d'enrichissement lead échouée (email non valide). Prochaine action : prise de contact par LG. Pas d'autres activités ou retours prospect mentionnés à ce stade.</v>
      </c>
      <c r="I34" s="12" cm="1" t="str">
        <f t="array" ref="I34">IF(C34="","",IF(OR(H34="",H34=0,H34=FALSE),"-",H34))</f>
        <v>Nouvelle piste créée pour équipe Ventes. Pitch effectué par Thomas Guyot, à recontacter par LG. Tentative d'enrichissement lead échouée (email non valide). Prochaine action : prise de contact par LG. Pas d'autres activités ou retours prospect mentionnés à ce stade.</v>
      </c>
      <c r="J34" s="6">
</c>
      <c r="K34" s="6" t="s">
        <v>74</v>
      </c>
      <c r="L34" s="6" cm="1" t="str">
        <f t="array" ref="L34">IF(C34="","",IF(K34="Mort / Plus rien à faire","KO","OK"))</f>
        <v>OK</v>
      </c>
      <c r="M34" s="13">
        <v>46139.5874537037</v>
      </c>
      <c r="N34" s="13" cm="1" t="n">
        <f t="array" ref="N34">IF(OR(C34="",M34="",M34=0),"",M34)</f>
        <v>46139.5874537037</v>
      </c>
      <c r="O34" s="13">
</c>
      <c r="P34" s="13" cm="1" t="str">
        <f t="array" ref="P34">IF(C34="","",IF(OR(O34="",O34=0),"-",O34))</f>
        <v>-</v>
      </c>
      <c r="Q34" s="14">
        <v>0</v>
      </c>
      <c r="R34" s="6" cm="1" t="str">
        <f t="array" ref="R34">IF(C34="","",ROUND(Q34/1000000,3)&amp;" M€")</f>
        <v>0 M€</v>
      </c>
      <c r="S34" s="15">
        <v>10</v>
      </c>
      <c r="T34" s="6" cm="1" t="str">
        <f t="array" ref="T34">IF(C34="","",SUBSTITUTE(S34,"","")&amp;"%")</f>
        <v>10%</v>
      </c>
      <c r="U34" s="12" cm="1" t="str">
        <f t="array" ref="U34">IF(($N34="")*($P34=""),"",IF(($N34&lt;&gt;"")*($N34&gt;TODAY()-9)*($N34&lt;TODAY()+1)*($P34&lt;&gt;"")*($P34&gt;=TODAY())*($P34&lt;=TODAY()+13),"Semaine passée &amp; à venir",IF(($N34&lt;&gt;"")*($N34&gt;TODAY()-9)*($N34&lt;TODAY()+1),"Semaine passée",IF(($P34&lt;&gt;"")*($P34&gt;=TODAY())*($P34&lt;=TODAY()+13),"À venir","Autre"))))</f>
        <v>Semaine passée</v>
      </c>
      <c r="V34" s="5" cm="1" t="n">
        <f t="array" ref="V34">IF(C34&lt;&gt;"",1,0)</f>
        <v>1</v>
      </c>
      <c r="W34" s="5">
</c>
      <c r="X34" s="5">
</c>
      <c r="Y34" s="5">
</c>
      <c r="Z34" s="5">
</c>
      <c r="AA34" s="5">
</c>
      <c r="AB34" s="5">
</c>
      <c r="AC34" s="5">
</c>
      <c r="AD34" s="5">
</c>
      <c r="AE34" s="5">
</c>
      <c r="AF34" s="5">
</c>
      <c r="AG34" s="5">
</c>
      <c r="AH34" s="5">
</c>
      <c r="AI34" s="5">
</c>
      <c r="AJ34" s="5">
</c>
      <c r="AK34" s="5">
</c>
    </row>
    <row r="35" ht="65.25" customHeight="1">
      <c r="A35" s="6" t="s">
        <v>23</v>
      </c>
      <c r="B35" s="6" t="s">
        <v>125</v>
      </c>
      <c r="C35" s="11" t="s">
        <v>132</v>
      </c>
      <c r="D35" s="11" t="s">
        <v>133</v>
      </c>
      <c r="E35" s="6" t="s">
        <v>44</v>
      </c>
      <c r="F35" s="6" t="s">
        <v>134</v>
      </c>
      <c r="G35" s="6" cm="1" t="str">
        <f t="array" ref="G35">IF(F35="","",SUBSTITUTE(SUBSTITUTE(SUBSTITUTE(SUBSTITUTE(F35,"&lt;li&gt;",CHAR(10)),"&lt;/li&gt;",""),"&lt;br&gt;",CHAR(10)),"&lt;strong&gt;",""))</f>
        <v>&lt;p&gt;Contact ARKEA effectué par LG, incluant Julien Carmona. Enrichissement lead impossible (email invalide). Nouvelle piste créée pour équipe Ventes. Dernière activité notable&amp;nbsp;: préparation réunion stratégique (février STRATON&amp;lt;&amp;gt;SLPE EXPANSION). Prochaine étape&amp;nbsp;: organiser réunion, échéance 14/01/2026.&lt;/p&gt;</v>
      </c>
      <c r="H35" s="6" cm="1" t="str">
        <f t="array" ref="H35">IF(G35="","",SUBSTITUTE(SUBSTITUTE(SUBSTITUTE(SUBSTITUTE(SUBSTITUTE(G35,"&lt;p&gt;",""),"&lt;/p&gt;",""),"&lt;ul&gt;",""),"&lt;/ul&gt;",""),"&lt;/strong&gt;",""))</f>
        <v>Contact ARKEA effectué par LG, incluant Julien Carmona. Enrichissement lead impossible (email invalide). Nouvelle piste créée pour équipe Ventes. Dernière activité notable&amp;nbsp;: préparation réunion stratégique (février STRATON&amp;lt;&amp;gt;SLPE EXPANSION). Prochaine étape&amp;nbsp;: organiser réunion, échéance 14/01/2026.</v>
      </c>
      <c r="I35" s="12" cm="1" t="str">
        <f t="array" ref="I35">IF(C35="","",IF(OR(H35="",H35=0,H35=FALSE),"-",H35))</f>
        <v>Contact ARKEA effectué par LG, incluant Julien Carmona. Enrichissement lead impossible (email invalide). Nouvelle piste créée pour équipe Ventes. Dernière activité notable&amp;nbsp;: préparation réunion stratégique (février STRATON&amp;lt;&amp;gt;SLPE EXPANSION). Prochaine étape&amp;nbsp;: organiser réunion, échéance 14/01/2026.</v>
      </c>
      <c r="J35" s="6">
</c>
      <c r="K35" s="6" t="s">
        <v>74</v>
      </c>
      <c r="L35" s="6" cm="1" t="str">
        <f t="array" ref="L35">IF(C35="","",IF(K35="Mort / Plus rien à faire","KO","OK"))</f>
        <v>OK</v>
      </c>
      <c r="M35" s="13">
        <v>46139.587800925925</v>
      </c>
      <c r="N35" s="13" cm="1" t="n">
        <f t="array" ref="N35">IF(OR(C35="",M35="",M35=0),"",M35)</f>
        <v>46139.587800925925</v>
      </c>
      <c r="O35" s="13">
</c>
      <c r="P35" s="13" cm="1" t="str">
        <f t="array" ref="P35">IF(C35="","",IF(OR(O35="",O35=0),"-",O35))</f>
        <v>-</v>
      </c>
      <c r="Q35" s="14">
        <v>0</v>
      </c>
      <c r="R35" s="6" cm="1" t="str">
        <f t="array" ref="R35">IF(C35="","",ROUND(Q35/1000000,3)&amp;" M€")</f>
        <v>0 M€</v>
      </c>
      <c r="S35" s="15">
        <v>10</v>
      </c>
      <c r="T35" s="6" cm="1" t="str">
        <f t="array" ref="T35">IF(C35="","",SUBSTITUTE(S35,"","")&amp;"%")</f>
        <v>10%</v>
      </c>
      <c r="U35" s="12" cm="1" t="str">
        <f t="array" ref="U35">IF(($N35="")*($P35=""),"",IF(($N35&lt;&gt;"")*($N35&gt;TODAY()-9)*($N35&lt;TODAY()+1)*($P35&lt;&gt;"")*($P35&gt;=TODAY())*($P35&lt;=TODAY()+13),"Semaine passée &amp; à venir",IF(($N35&lt;&gt;"")*($N35&gt;TODAY()-9)*($N35&lt;TODAY()+1),"Semaine passée",IF(($P35&lt;&gt;"")*($P35&gt;=TODAY())*($P35&lt;=TODAY()+13),"À venir","Autre"))))</f>
        <v>Semaine passée</v>
      </c>
      <c r="V35" s="5" cm="1" t="n">
        <f t="array" ref="V35">IF(C35&lt;&gt;"",1,0)</f>
        <v>1</v>
      </c>
      <c r="W35" s="5">
</c>
      <c r="X35" s="5">
</c>
      <c r="Y35" s="5">
</c>
      <c r="Z35" s="5">
</c>
      <c r="AA35" s="5">
</c>
      <c r="AB35" s="5">
</c>
      <c r="AC35" s="5">
</c>
      <c r="AD35" s="5">
</c>
      <c r="AE35" s="5">
</c>
      <c r="AF35" s="5">
</c>
      <c r="AG35" s="5">
</c>
      <c r="AH35" s="5">
</c>
      <c r="AI35" s="5">
</c>
      <c r="AJ35" s="5">
</c>
      <c r="AK35" s="5">
</c>
    </row>
    <row r="36" ht="65.25" customHeight="1">
      <c r="A36" s="6" t="s">
        <v>23</v>
      </c>
      <c r="B36" s="6" t="s">
        <v>125</v>
      </c>
      <c r="C36" s="11" t="s">
        <v>135</v>
      </c>
      <c r="D36" s="11" t="s">
        <v>136</v>
      </c>
      <c r="E36" s="6" t="s">
        <v>44</v>
      </c>
      <c r="F36" s="6" t="s">
        <v>137</v>
      </c>
      <c r="G36" s="6" cm="1" t="str">
        <f t="array" ref="G36">IF(F36="","",SUBSTITUTE(SUBSTITUTE(SUBSTITUTE(SUBSTITUTE(F36,"&lt;li&gt;",CHAR(10)),"&lt;/li&gt;",""),"&lt;br&gt;",CHAR(10)),"&lt;strong&gt;",""))</f>
        <v>&lt;p&gt;Nouvelle piste créée pour équipe Ventes. Prospect déjà pitché, à recontacter par LG. Pas d'autres actions ou retours prospect mentionnés. Prochaine étape : prise de contact par LG. Aucune conclusion prospect ni passage en comité signalés dans les échanges.&lt;/p&gt;</v>
      </c>
      <c r="H36" s="6" cm="1" t="str">
        <f t="array" ref="H36">IF(G36="","",SUBSTITUTE(SUBSTITUTE(SUBSTITUTE(SUBSTITUTE(SUBSTITUTE(G36,"&lt;p&gt;",""),"&lt;/p&gt;",""),"&lt;ul&gt;",""),"&lt;/ul&gt;",""),"&lt;/strong&gt;",""))</f>
        <v>Nouvelle piste créée pour équipe Ventes. Prospect déjà pitché, à recontacter par LG. Pas d'autres actions ou retours prospect mentionnés. Prochaine étape : prise de contact par LG. Aucune conclusion prospect ni passage en comité signalés dans les échanges.</v>
      </c>
      <c r="I36" s="12" cm="1" t="str">
        <f t="array" ref="I36">IF(C36="","",IF(OR(H36="",H36=0,H36=FALSE),"-",H36))</f>
        <v>Nouvelle piste créée pour équipe Ventes. Prospect déjà pitché, à recontacter par LG. Pas d'autres actions ou retours prospect mentionnés. Prochaine étape : prise de contact par LG. Aucune conclusion prospect ni passage en comité signalés dans les échanges.</v>
      </c>
      <c r="J36" s="6">
</c>
      <c r="K36" s="6" t="s">
        <v>74</v>
      </c>
      <c r="L36" s="6" cm="1" t="str">
        <f t="array" ref="L36">IF(C36="","",IF(K36="Mort / Plus rien à faire","KO","OK"))</f>
        <v>OK</v>
      </c>
      <c r="M36" s="13">
        <v>46132.58696759259</v>
      </c>
      <c r="N36" s="13" cm="1" t="n">
        <f t="array" ref="N36">IF(OR(C36="",M36="",M36=0),"",M36)</f>
        <v>46132.58696759259</v>
      </c>
      <c r="O36" s="13">
</c>
      <c r="P36" s="13" cm="1" t="str">
        <f t="array" ref="P36">IF(C36="","",IF(OR(O36="",O36=0),"-",O36))</f>
        <v>-</v>
      </c>
      <c r="Q36" s="14">
        <v>0</v>
      </c>
      <c r="R36" s="6" cm="1" t="str">
        <f t="array" ref="R36">IF(C36="","",ROUND(Q36/1000000,3)&amp;" M€")</f>
        <v>0 M€</v>
      </c>
      <c r="S36" s="15">
        <v>10</v>
      </c>
      <c r="T36" s="6" cm="1" t="str">
        <f t="array" ref="T36">IF(C36="","",SUBSTITUTE(S36,"","")&amp;"%")</f>
        <v>10%</v>
      </c>
      <c r="U36" s="12" cm="1" t="str">
        <f t="array" ref="U36">IF(($N36="")*($P36=""),"",IF(($N36&lt;&gt;"")*($N36&gt;TODAY()-9)*($N36&lt;TODAY()+1)*($P36&lt;&gt;"")*($P36&gt;=TODAY())*($P36&lt;=TODAY()+13),"Semaine passée &amp; à venir",IF(($N36&lt;&gt;"")*($N36&gt;TODAY()-9)*($N36&lt;TODAY()+1),"Semaine passée",IF(($P36&lt;&gt;"")*($P36&gt;=TODAY())*($P36&lt;=TODAY()+13),"À venir","Autre"))))</f>
        <v>Autre</v>
      </c>
      <c r="V36" s="5" cm="1" t="n">
        <f t="array" ref="V36">IF(C36&lt;&gt;"",1,0)</f>
        <v>1</v>
      </c>
      <c r="W36" s="5">
</c>
      <c r="X36" s="5">
</c>
      <c r="Y36" s="5">
</c>
      <c r="Z36" s="5">
</c>
      <c r="AA36" s="5">
</c>
      <c r="AB36" s="5">
</c>
      <c r="AC36" s="5">
</c>
      <c r="AD36" s="5">
</c>
      <c r="AE36" s="5">
</c>
      <c r="AF36" s="5">
</c>
      <c r="AG36" s="5">
</c>
      <c r="AH36" s="5">
</c>
      <c r="AI36" s="5">
</c>
      <c r="AJ36" s="5">
</c>
      <c r="AK36" s="5">
</c>
    </row>
    <row r="37" ht="65.25" customHeight="1">
      <c r="A37" s="6" t="s">
        <v>23</v>
      </c>
      <c r="B37" s="6" t="s">
        <v>40</v>
      </c>
      <c r="C37" s="11" t="s">
        <v>138</v>
      </c>
      <c r="D37" s="11" t="s">
        <v>138</v>
      </c>
      <c r="E37" s="6" t="s">
        <v>35</v>
      </c>
      <c r="F37" s="6" t="s">
        <v>139</v>
      </c>
      <c r="G37" s="6" cm="1" t="str">
        <f t="array" ref="G37">IF(F37="","",SUBSTITUTE(SUBSTITUTE(SUBSTITUTE(SUBSTITUTE(F37,"&lt;li&gt;",CHAR(10)),"&lt;/li&gt;",""),"&lt;br&gt;",CHAR(10)),"&lt;strong&gt;",""))</f>
        <v>&lt;p&gt;Piste créée pour équipe Ventes (16/03). Lead identifié CB (23/03). Relance mail envoyée pour échange téléphonique (30/03) par Edouard Gaurier. Aucun retour ou action récente du prospect. Pas d'activité ou d'échange significatif depuis, prochaine étape non planifiée à ce jour.&lt;/p&gt;</v>
      </c>
      <c r="H37" s="6" cm="1" t="str">
        <f t="array" ref="H37">IF(G37="","",SUBSTITUTE(SUBSTITUTE(SUBSTITUTE(SUBSTITUTE(SUBSTITUTE(G37,"&lt;p&gt;",""),"&lt;/p&gt;",""),"&lt;ul&gt;",""),"&lt;/ul&gt;",""),"&lt;/strong&gt;",""))</f>
        <v>Piste créée pour équipe Ventes (16/03). Lead identifié CB (23/03). Relance mail envoyée pour échange téléphonique (30/03) par Edouard Gaurier. Aucun retour ou action récente du prospect. Pas d'activité ou d'échange significatif depuis, prochaine étape non planifiée à ce jour.</v>
      </c>
      <c r="I37" s="12" cm="1" t="str">
        <f t="array" ref="I37">IF(C37="","",IF(OR(H37="",H37=0,H37=FALSE),"-",H37))</f>
        <v>Piste créée pour équipe Ventes (16/03). Lead identifié CB (23/03). Relance mail envoyée pour échange téléphonique (30/03) par Edouard Gaurier. Aucun retour ou action récente du prospect. Pas d'activité ou d'échange significatif depuis, prochaine étape non planifiée à ce jour.</v>
      </c>
      <c r="J37" s="6">
</c>
      <c r="K37" s="6" t="s">
        <v>46</v>
      </c>
      <c r="L37" s="6" cm="1" t="str">
        <f t="array" ref="L37">IF(C37="","",IF(K37="Mort / Plus rien à faire","KO","OK"))</f>
        <v>OK</v>
      </c>
      <c r="M37" s="13">
        <v>46126.52721064815</v>
      </c>
      <c r="N37" s="13" cm="1" t="n">
        <f t="array" ref="N37">IF(OR(C37="",M37="",M37=0),"",M37)</f>
        <v>46126.52721064815</v>
      </c>
      <c r="O37" s="13">
</c>
      <c r="P37" s="13" cm="1" t="str">
        <f t="array" ref="P37">IF(C37="","",IF(OR(O37="",O37=0),"-",O37))</f>
        <v>-</v>
      </c>
      <c r="Q37" s="14">
        <v>100000</v>
      </c>
      <c r="R37" s="6" cm="1" t="str">
        <f t="array" ref="R37">IF(C37="","",ROUND(Q37/1000000,3)&amp;" M€")</f>
        <v>0.1 M€</v>
      </c>
      <c r="S37" s="15">
        <v>10</v>
      </c>
      <c r="T37" s="6" cm="1" t="str">
        <f t="array" ref="T37">IF(C37="","",SUBSTITUTE(S37,"","")&amp;"%")</f>
        <v>10%</v>
      </c>
      <c r="U37" s="12" cm="1" t="str">
        <f t="array" ref="U37">IF(($N37="")*($P37=""),"",IF(($N37&lt;&gt;"")*($N37&gt;TODAY()-9)*($N37&lt;TODAY()+1)*($P37&lt;&gt;"")*($P37&gt;=TODAY())*($P37&lt;=TODAY()+13),"Semaine passée &amp; à venir",IF(($N37&lt;&gt;"")*($N37&gt;TODAY()-9)*($N37&lt;TODAY()+1),"Semaine passée",IF(($P37&lt;&gt;"")*($P37&gt;=TODAY())*($P37&lt;=TODAY()+13),"À venir","Autre"))))</f>
        <v>Autre</v>
      </c>
      <c r="V37" s="5" cm="1" t="n">
        <f t="array" ref="V37">IF(C37&lt;&gt;"",1,0)</f>
        <v>1</v>
      </c>
      <c r="W37" s="5">
</c>
      <c r="X37" s="5">
</c>
      <c r="Y37" s="5">
</c>
      <c r="Z37" s="5">
</c>
      <c r="AA37" s="5">
</c>
      <c r="AB37" s="5">
</c>
      <c r="AC37" s="5">
</c>
      <c r="AD37" s="5">
</c>
      <c r="AE37" s="5">
</c>
      <c r="AF37" s="5">
</c>
      <c r="AG37" s="5">
</c>
      <c r="AH37" s="5">
</c>
      <c r="AI37" s="5">
</c>
      <c r="AJ37" s="5">
</c>
      <c r="AK37" s="5">
</c>
    </row>
    <row r="38" ht="65.25" customHeight="1">
      <c r="A38" s="6" t="s">
        <v>23</v>
      </c>
      <c r="B38" s="6">
</c>
      <c r="C38" s="11" t="s">
        <v>140</v>
      </c>
      <c r="D38" s="11" t="s">
        <v>141</v>
      </c>
      <c r="E38" s="6" t="s">
        <v>35</v>
      </c>
      <c r="F38" s="6" t="s">
        <v>142</v>
      </c>
      <c r="G38" s="6" cm="1" t="str">
        <f t="array" ref="G38">IF(F38="","",SUBSTITUTE(SUBSTITUTE(SUBSTITUTE(SUBSTITUTE(F38,"&lt;li&gt;",CHAR(10)),"&lt;/li&gt;",""),"&lt;br&gt;",CHAR(10)),"&lt;strong&gt;",""))</f>
        <v>&lt;p&gt;Nouvelle piste créée pour équipe Ventes. Prospect souhaite réinvestir dans FCPI 12K, indisponible actuellement. Aucun échange ou activité supplémentaire relevé. Prochaines étapes non définies, attente d'évolution sur disponibilité FCPI 12K. Pas d'autres actions ou retours du prospect.&lt;/p&gt;</v>
      </c>
      <c r="H38" s="6" cm="1" t="str">
        <f t="array" ref="H38">IF(G38="","",SUBSTITUTE(SUBSTITUTE(SUBSTITUTE(SUBSTITUTE(SUBSTITUTE(G38,"&lt;p&gt;",""),"&lt;/p&gt;",""),"&lt;ul&gt;",""),"&lt;/ul&gt;",""),"&lt;/strong&gt;",""))</f>
        <v>Nouvelle piste créée pour équipe Ventes. Prospect souhaite réinvestir dans FCPI 12K, indisponible actuellement. Aucun échange ou activité supplémentaire relevé. Prochaines étapes non définies, attente d'évolution sur disponibilité FCPI 12K. Pas d'autres actions ou retours du prospect.</v>
      </c>
      <c r="I38" s="12" cm="1" t="str">
        <f t="array" ref="I38">IF(C38="","",IF(OR(H38="",H38=0,H38=FALSE),"-",H38))</f>
        <v>Nouvelle piste créée pour équipe Ventes. Prospect souhaite réinvestir dans FCPI 12K, indisponible actuellement. Aucun échange ou activité supplémentaire relevé. Prochaines étapes non définies, attente d'évolution sur disponibilité FCPI 12K. Pas d'autres actions ou retours du prospect.</v>
      </c>
      <c r="J38" s="6">
</c>
      <c r="K38" s="6" t="s">
        <v>74</v>
      </c>
      <c r="L38" s="6" cm="1" t="str">
        <f t="array" ref="L38">IF(C38="","",IF(K38="Mort / Plus rien à faire","KO","OK"))</f>
        <v>OK</v>
      </c>
      <c r="M38" s="13">
        <v>46129.707349537035</v>
      </c>
      <c r="N38" s="13" cm="1" t="n">
        <f t="array" ref="N38">IF(OR(C38="",M38="",M38=0),"",M38)</f>
        <v>46129.707349537035</v>
      </c>
      <c r="O38" s="13">
</c>
      <c r="P38" s="13" cm="1" t="str">
        <f t="array" ref="P38">IF(C38="","",IF(OR(O38="",O38=0),"-",O38))</f>
        <v>-</v>
      </c>
      <c r="Q38" s="14">
        <v>12000</v>
      </c>
      <c r="R38" s="6" cm="1" t="str">
        <f t="array" ref="R38">IF(C38="","",ROUND(Q38/1000000,3)&amp;" M€")</f>
        <v>0.012 M€</v>
      </c>
      <c r="S38" s="15">
        <v>10</v>
      </c>
      <c r="T38" s="6" cm="1" t="str">
        <f t="array" ref="T38">IF(C38="","",SUBSTITUTE(S38,"","")&amp;"%")</f>
        <v>10%</v>
      </c>
      <c r="U38" s="12" cm="1" t="str">
        <f t="array" ref="U38">IF(($N38="")*($P38=""),"",IF(($N38&lt;&gt;"")*($N38&gt;TODAY()-9)*($N38&lt;TODAY()+1)*($P38&lt;&gt;"")*($P38&gt;=TODAY())*($P38&lt;=TODAY()+13),"Semaine passée &amp; à venir",IF(($N38&lt;&gt;"")*($N38&gt;TODAY()-9)*($N38&lt;TODAY()+1),"Semaine passée",IF(($P38&lt;&gt;"")*($P38&gt;=TODAY())*($P38&lt;=TODAY()+13),"À venir","Autre"))))</f>
        <v>Autre</v>
      </c>
      <c r="V38" s="5" cm="1" t="n">
        <f t="array" ref="V38">IF(C38&lt;&gt;"",1,0)</f>
        <v>1</v>
      </c>
      <c r="W38" s="5">
</c>
      <c r="X38" s="5">
</c>
      <c r="Y38" s="5">
</c>
      <c r="Z38" s="5">
</c>
      <c r="AA38" s="5">
</c>
      <c r="AB38" s="5">
</c>
      <c r="AC38" s="5">
</c>
      <c r="AD38" s="5">
</c>
      <c r="AE38" s="5">
</c>
      <c r="AF38" s="5">
</c>
      <c r="AG38" s="5">
</c>
      <c r="AH38" s="5">
</c>
      <c r="AI38" s="5">
</c>
      <c r="AJ38" s="5">
</c>
      <c r="AK38" s="5">
</c>
    </row>
    <row r="39" ht="65.25" customHeight="1">
      <c r="A39" s="6" t="s">
        <v>23</v>
      </c>
      <c r="B39" s="6">
</c>
      <c r="C39" s="11" t="s">
        <v>143</v>
      </c>
      <c r="D39" s="11" t="s">
        <v>144</v>
      </c>
      <c r="E39" s="6" t="s">
        <v>35</v>
      </c>
      <c r="F39" s="6" t="s">
        <v>145</v>
      </c>
      <c r="G39" s="6" cm="1" t="str">
        <f t="array" ref="G39">IF(F39="","",SUBSTITUTE(SUBSTITUTE(SUBSTITUTE(SUBSTITUTE(F39,"&lt;li&gt;",CHAR(10)),"&lt;/li&gt;",""),"&lt;br&gt;",CHAR(10)),"&lt;strong&gt;",""))</f>
        <v>&lt;p&gt;Appel relance Teams avec gérant FCPI le 30/03, échange noté, pas de retour détaillé du prospect sur les fonds. Nouvelle piste créée pour équipe Ventes le 13/03. Prochaine étape : suivi relance avec gérant FCPI. Pas d'autres actions ou retours prospect mentionnés.&lt;/p&gt;</v>
      </c>
      <c r="H39" s="6" cm="1" t="str">
        <f t="array" ref="H39">IF(G39="","",SUBSTITUTE(SUBSTITUTE(SUBSTITUTE(SUBSTITUTE(SUBSTITUTE(G39,"&lt;p&gt;",""),"&lt;/p&gt;",""),"&lt;ul&gt;",""),"&lt;/ul&gt;",""),"&lt;/strong&gt;",""))</f>
        <v>Appel relance Teams avec gérant FCPI le 30/03, échange noté, pas de retour détaillé du prospect sur les fonds. Nouvelle piste créée pour équipe Ventes le 13/03. Prochaine étape : suivi relance avec gérant FCPI. Pas d'autres actions ou retours prospect mentionnés.</v>
      </c>
      <c r="I39" s="12" cm="1" t="str">
        <f t="array" ref="I39">IF(C39="","",IF(OR(H39="",H39=0,H39=FALSE),"-",H39))</f>
        <v>Appel relance Teams avec gérant FCPI le 30/03, échange noté, pas de retour détaillé du prospect sur les fonds. Nouvelle piste créée pour équipe Ventes le 13/03. Prochaine étape : suivi relance avec gérant FCPI. Pas d'autres actions ou retours prospect mentionnés.</v>
      </c>
      <c r="J39" s="6">
</c>
      <c r="K39" s="6" t="s">
        <v>46</v>
      </c>
      <c r="L39" s="6" cm="1" t="str">
        <f t="array" ref="L39">IF(C39="","",IF(K39="Mort / Plus rien à faire","KO","OK"))</f>
        <v>OK</v>
      </c>
      <c r="M39" s="13">
        <v>46111.5971412037</v>
      </c>
      <c r="N39" s="13" cm="1" t="n">
        <f t="array" ref="N39">IF(OR(C39="",M39="",M39=0),"",M39)</f>
        <v>46111.5971412037</v>
      </c>
      <c r="O39" s="13">
</c>
      <c r="P39" s="13" cm="1" t="str">
        <f t="array" ref="P39">IF(C39="","",IF(OR(O39="",O39=0),"-",O39))</f>
        <v>-</v>
      </c>
      <c r="Q39" s="14">
        <v>0</v>
      </c>
      <c r="R39" s="6" cm="1" t="str">
        <f t="array" ref="R39">IF(C39="","",ROUND(Q39/1000000,3)&amp;" M€")</f>
        <v>0 M€</v>
      </c>
      <c r="S39" s="15">
        <v>10</v>
      </c>
      <c r="T39" s="6" cm="1" t="str">
        <f t="array" ref="T39">IF(C39="","",SUBSTITUTE(S39,"","")&amp;"%")</f>
        <v>10%</v>
      </c>
      <c r="U39" s="12" cm="1" t="str">
        <f t="array" ref="U39">IF(($N39="")*($P39=""),"",IF(($N39&lt;&gt;"")*($N39&gt;TODAY()-9)*($N39&lt;TODAY()+1)*($P39&lt;&gt;"")*($P39&gt;=TODAY())*($P39&lt;=TODAY()+13),"Semaine passée &amp; à venir",IF(($N39&lt;&gt;"")*($N39&gt;TODAY()-9)*($N39&lt;TODAY()+1),"Semaine passée",IF(($P39&lt;&gt;"")*($P39&gt;=TODAY())*($P39&lt;=TODAY()+13),"À venir","Autre"))))</f>
        <v>Autre</v>
      </c>
      <c r="V39" s="5" cm="1" t="n">
        <f t="array" ref="V39">IF(C39&lt;&gt;"",1,0)</f>
        <v>1</v>
      </c>
      <c r="W39" s="5">
</c>
      <c r="X39" s="5">
</c>
      <c r="Y39" s="5">
</c>
      <c r="Z39" s="5">
</c>
      <c r="AA39" s="5">
</c>
      <c r="AB39" s="5">
</c>
      <c r="AC39" s="5">
</c>
      <c r="AD39" s="5">
</c>
      <c r="AE39" s="5">
</c>
      <c r="AF39" s="5">
</c>
      <c r="AG39" s="5">
</c>
      <c r="AH39" s="5">
</c>
      <c r="AI39" s="5">
</c>
      <c r="AJ39" s="5">
</c>
      <c r="AK39" s="5">
</c>
    </row>
    <row r="40" ht="65.25" customHeight="1">
      <c r="A40" s="6" t="s">
        <v>23</v>
      </c>
      <c r="B40" s="6" t="s">
        <v>24</v>
      </c>
      <c r="C40" s="11" t="s">
        <v>146</v>
      </c>
      <c r="D40" s="11" t="s">
        <v>147</v>
      </c>
      <c r="E40" s="6" t="s">
        <v>35</v>
      </c>
      <c r="F40" s="6" t="s">
        <v>148</v>
      </c>
      <c r="G40" s="6" cm="1" t="str">
        <f t="array" ref="G40">IF(F40="","",SUBSTITUTE(SUBSTITUTE(SUBSTITUTE(SUBSTITUTE(F40,"&lt;li&gt;",CHAR(10)),"&lt;/li&gt;",""),"&lt;br&gt;",CHAR(10)),"&lt;strong&gt;",""))</f>
        <v>&lt;p&gt;25/02/26 café avec Directeur Cheval Blanc Patrimoine CGP Paris 16, offre globale évoquée, prospect pas intéressé pour l’instant, préfère fonds de dette privés, mauvaise image fonds fiscaux. A choisi Wind Capital en FCPI, ouvert à revoir en 2026. Pas d’action prévue à court terme.&lt;/p&gt;</v>
      </c>
      <c r="H40" s="6" cm="1" t="str">
        <f t="array" ref="H40">IF(G40="","",SUBSTITUTE(SUBSTITUTE(SUBSTITUTE(SUBSTITUTE(SUBSTITUTE(G40,"&lt;p&gt;",""),"&lt;/p&gt;",""),"&lt;ul&gt;",""),"&lt;/ul&gt;",""),"&lt;/strong&gt;",""))</f>
        <v>25/02/26 café avec Directeur Cheval Blanc Patrimoine CGP Paris 16, offre globale évoquée, prospect pas intéressé pour l’instant, préfère fonds de dette privés, mauvaise image fonds fiscaux. A choisi Wind Capital en FCPI, ouvert à revoir en 2026. Pas d’action prévue à court terme.</v>
      </c>
      <c r="I40" s="12" cm="1" t="str">
        <f t="array" ref="I40">IF(C40="","",IF(OR(H40="",H40=0,H40=FALSE),"-",H40))</f>
        <v>25/02/26 café avec Directeur Cheval Blanc Patrimoine CGP Paris 16, offre globale évoquée, prospect pas intéressé pour l’instant, préfère fonds de dette privés, mauvaise image fonds fiscaux. A choisi Wind Capital en FCPI, ouvert à revoir en 2026. Pas d’action prévue à court terme.</v>
      </c>
      <c r="J40" s="6">
</c>
      <c r="K40" s="6" t="s">
        <v>149</v>
      </c>
      <c r="L40" s="6" cm="1" t="str">
        <f t="array" ref="L40">IF(C40="","",IF(K40="Mort / Plus rien à faire","KO","OK"))</f>
        <v>OK</v>
      </c>
      <c r="M40" s="13">
        <v>46111.72484953704</v>
      </c>
      <c r="N40" s="13" cm="1" t="n">
        <f t="array" ref="N40">IF(OR(C40="",M40="",M40=0),"",M40)</f>
        <v>46111.72484953704</v>
      </c>
      <c r="O40" s="13">
</c>
      <c r="P40" s="13" cm="1" t="str">
        <f t="array" ref="P40">IF(C40="","",IF(OR(O40="",O40=0),"-",O40))</f>
        <v>-</v>
      </c>
      <c r="Q40" s="14">
        <v>0</v>
      </c>
      <c r="R40" s="6" cm="1" t="str">
        <f t="array" ref="R40">IF(C40="","",ROUND(Q40/1000000,3)&amp;" M€")</f>
        <v>0 M€</v>
      </c>
      <c r="S40" s="15">
        <v>10</v>
      </c>
      <c r="T40" s="6" cm="1" t="str">
        <f t="array" ref="T40">IF(C40="","",SUBSTITUTE(S40,"","")&amp;"%")</f>
        <v>10%</v>
      </c>
      <c r="U40" s="12" cm="1" t="str">
        <f t="array" ref="U40">IF(($N40="")*($P40=""),"",IF(($N40&lt;&gt;"")*($N40&gt;TODAY()-9)*($N40&lt;TODAY()+1)*($P40&lt;&gt;"")*($P40&gt;=TODAY())*($P40&lt;=TODAY()+13),"Semaine passée &amp; à venir",IF(($N40&lt;&gt;"")*($N40&gt;TODAY()-9)*($N40&lt;TODAY()+1),"Semaine passée",IF(($P40&lt;&gt;"")*($P40&gt;=TODAY())*($P40&lt;=TODAY()+13),"À venir","Autre"))))</f>
        <v>Autre</v>
      </c>
      <c r="V40" s="5" cm="1" t="n">
        <f t="array" ref="V40">IF(C40&lt;&gt;"",1,0)</f>
        <v>1</v>
      </c>
      <c r="W40" s="5">
</c>
      <c r="X40" s="5">
</c>
      <c r="Y40" s="5">
</c>
      <c r="Z40" s="5">
</c>
      <c r="AA40" s="5">
</c>
      <c r="AB40" s="5">
</c>
      <c r="AC40" s="5">
</c>
      <c r="AD40" s="5">
</c>
      <c r="AE40" s="5">
</c>
      <c r="AF40" s="5">
</c>
      <c r="AG40" s="5">
</c>
      <c r="AH40" s="5">
</c>
      <c r="AI40" s="5">
</c>
      <c r="AJ40" s="5">
</c>
      <c r="AK40" s="5">
</c>
    </row>
    <row r="41" ht="65.25" customHeight="1">
      <c r="A41" s="6" t="s">
        <v>23</v>
      </c>
      <c r="B41" s="6" t="s">
        <v>24</v>
      </c>
      <c r="C41" s="11" t="s">
        <v>150</v>
      </c>
      <c r="D41" s="11" t="s">
        <v>151</v>
      </c>
      <c r="E41" s="6" t="s">
        <v>27</v>
      </c>
      <c r="F41" s="6" t="s">
        <v>152</v>
      </c>
      <c r="G41" s="6" cm="1" t="str">
        <f t="array" ref="G41">IF(F41="","",SUBSTITUTE(SUBSTITUTE(SUBSTITUTE(SUBSTITUTE(F41,"&lt;li&gt;",CHAR(10)),"&lt;/li&gt;",""),"&lt;br&gt;",CHAR(10)),"&lt;strong&gt;",""))</f>
        <v>&lt;p&gt;Cold call CGP Paris 25/11, client peu PE, focus dette privée/infra, mais intérêt potentiel pour Capital Innovation. Présentation envoyée 01/12, relance mail 16/12, relance FCPI 04/03 (message laissé). Dernière action : mail à envoyer. Pas de retour prospect sur fonds à ce stade.&lt;/p&gt;</v>
      </c>
      <c r="H41" s="6" cm="1" t="str">
        <f t="array" ref="H41">IF(G41="","",SUBSTITUTE(SUBSTITUTE(SUBSTITUTE(SUBSTITUTE(SUBSTITUTE(G41,"&lt;p&gt;",""),"&lt;/p&gt;",""),"&lt;ul&gt;",""),"&lt;/ul&gt;",""),"&lt;/strong&gt;",""))</f>
        <v>Cold call CGP Paris 25/11, client peu PE, focus dette privée/infra, mais intérêt potentiel pour Capital Innovation. Présentation envoyée 01/12, relance mail 16/12, relance FCPI 04/03 (message laissé). Dernière action : mail à envoyer. Pas de retour prospect sur fonds à ce stade.</v>
      </c>
      <c r="I41" s="12" cm="1" t="str">
        <f t="array" ref="I41">IF(C41="","",IF(OR(H41="",H41=0,H41=FALSE),"-",H41))</f>
        <v>Cold call CGP Paris 25/11, client peu PE, focus dette privée/infra, mais intérêt potentiel pour Capital Innovation. Présentation envoyée 01/12, relance mail 16/12, relance FCPI 04/03 (message laissé). Dernière action : mail à envoyer. Pas de retour prospect sur fonds à ce stade.</v>
      </c>
      <c r="J41" s="6">
</c>
      <c r="K41" s="6" t="s">
        <v>74</v>
      </c>
      <c r="L41" s="6" cm="1" t="str">
        <f t="array" ref="L41">IF(C41="","",IF(K41="Mort / Plus rien à faire","KO","OK"))</f>
        <v>OK</v>
      </c>
      <c r="M41" s="13">
        <v>46132.6165625</v>
      </c>
      <c r="N41" s="13" cm="1" t="n">
        <f t="array" ref="N41">IF(OR(C41="",M41="",M41=0),"",M41)</f>
        <v>46132.6165625</v>
      </c>
      <c r="O41" s="13">
</c>
      <c r="P41" s="13" cm="1" t="str">
        <f t="array" ref="P41">IF(C41="","",IF(OR(O41="",O41=0),"-",O41))</f>
        <v>-</v>
      </c>
      <c r="Q41" s="14">
        <v>0</v>
      </c>
      <c r="R41" s="6" cm="1" t="str">
        <f t="array" ref="R41">IF(C41="","",ROUND(Q41/1000000,3)&amp;" M€")</f>
        <v>0 M€</v>
      </c>
      <c r="S41" s="15">
        <v>10</v>
      </c>
      <c r="T41" s="6" cm="1" t="str">
        <f t="array" ref="T41">IF(C41="","",SUBSTITUTE(S41,"","")&amp;"%")</f>
        <v>10%</v>
      </c>
      <c r="U41" s="12" cm="1" t="str">
        <f t="array" ref="U41">IF(($N41="")*($P41=""),"",IF(($N41&lt;&gt;"")*($N41&gt;TODAY()-9)*($N41&lt;TODAY()+1)*($P41&lt;&gt;"")*($P41&gt;=TODAY())*($P41&lt;=TODAY()+13),"Semaine passée &amp; à venir",IF(($N41&lt;&gt;"")*($N41&gt;TODAY()-9)*($N41&lt;TODAY()+1),"Semaine passée",IF(($P41&lt;&gt;"")*($P41&gt;=TODAY())*($P41&lt;=TODAY()+13),"À venir","Autre"))))</f>
        <v>Autre</v>
      </c>
      <c r="V41" s="5" cm="1" t="n">
        <f t="array" ref="V41">IF(C41&lt;&gt;"",1,0)</f>
        <v>1</v>
      </c>
      <c r="W41" s="5">
</c>
      <c r="X41" s="5">
</c>
      <c r="Y41" s="5">
</c>
      <c r="Z41" s="5">
</c>
      <c r="AA41" s="5">
</c>
      <c r="AB41" s="5">
</c>
      <c r="AC41" s="5">
</c>
      <c r="AD41" s="5">
</c>
      <c r="AE41" s="5">
</c>
      <c r="AF41" s="5">
</c>
      <c r="AG41" s="5">
</c>
      <c r="AH41" s="5">
</c>
      <c r="AI41" s="5">
</c>
      <c r="AJ41" s="5">
</c>
      <c r="AK41" s="5">
</c>
    </row>
    <row r="42" ht="65.25" customHeight="1">
      <c r="A42" s="6" t="s">
        <v>23</v>
      </c>
      <c r="B42" s="6" t="s">
        <v>106</v>
      </c>
      <c r="C42" s="11" t="s">
        <v>153</v>
      </c>
      <c r="D42" s="11" t="s">
        <v>154</v>
      </c>
      <c r="E42" s="6" t="s">
        <v>56</v>
      </c>
      <c r="F42" s="6" t="s">
        <v>155</v>
      </c>
      <c r="G42" s="6" cm="1" t="str">
        <f t="array" ref="G42">IF(F42="","",SUBSTITUTE(SUBSTITUTE(SUBSTITUTE(SUBSTITUTE(F42,"&lt;li&gt;",CHAR(10)),"&lt;/li&gt;",""),"&lt;br&gt;",CHAR(10)),"&lt;strong&gt;",""))</f>
        <v>&lt;p&gt;Peu d'infos récentes : messages "lead LG" sans détails, nouvelle piste créée pour équipe Ventes, aucune activité planifiée ni retour prospect, aucune donnée chiffrée. Dernière action prévue : relance Straton (échéance 29/11/2025). Aucun message nécessitant action, suivi prospect limité.&lt;/p&gt;</v>
      </c>
      <c r="H42" s="6" cm="1" t="str">
        <f t="array" ref="H42">IF(G42="","",SUBSTITUTE(SUBSTITUTE(SUBSTITUTE(SUBSTITUTE(SUBSTITUTE(G42,"&lt;p&gt;",""),"&lt;/p&gt;",""),"&lt;ul&gt;",""),"&lt;/ul&gt;",""),"&lt;/strong&gt;",""))</f>
        <v>Peu d'infos récentes : messages "lead LG" sans détails, nouvelle piste créée pour équipe Ventes, aucune activité planifiée ni retour prospect, aucune donnée chiffrée. Dernière action prévue : relance Straton (échéance 29/11/2025). Aucun message nécessitant action, suivi prospect limité.</v>
      </c>
      <c r="I42" s="12" cm="1" t="str">
        <f t="array" ref="I42">IF(C42="","",IF(OR(H42="",H42=0,H42=FALSE),"-",H42))</f>
        <v>Peu d'infos récentes : messages "lead LG" sans détails, nouvelle piste créée pour équipe Ventes, aucune activité planifiée ni retour prospect, aucune donnée chiffrée. Dernière action prévue : relance Straton (échéance 29/11/2025). Aucun message nécessitant action, suivi prospect limité.</v>
      </c>
      <c r="J42" s="6">
</c>
      <c r="K42" s="6" t="s">
        <v>74</v>
      </c>
      <c r="L42" s="6" cm="1" t="str">
        <f t="array" ref="L42">IF(C42="","",IF(K42="Mort / Plus rien à faire","KO","OK"))</f>
        <v>OK</v>
      </c>
      <c r="M42" s="13">
        <v>46141.59175925926</v>
      </c>
      <c r="N42" s="13" cm="1" t="n">
        <f t="array" ref="N42">IF(OR(C42="",M42="",M42=0),"",M42)</f>
        <v>46141.59175925926</v>
      </c>
      <c r="O42" s="13">
</c>
      <c r="P42" s="13" cm="1" t="str">
        <f t="array" ref="P42">IF(C42="","",IF(OR(O42="",O42=0),"-",O42))</f>
        <v>-</v>
      </c>
      <c r="Q42" s="14">
        <v>0</v>
      </c>
      <c r="R42" s="6" cm="1" t="str">
        <f t="array" ref="R42">IF(C42="","",ROUND(Q42/1000000,3)&amp;" M€")</f>
        <v>0 M€</v>
      </c>
      <c r="S42" s="15">
        <v>10</v>
      </c>
      <c r="T42" s="6" cm="1" t="str">
        <f t="array" ref="T42">IF(C42="","",SUBSTITUTE(S42,"","")&amp;"%")</f>
        <v>10%</v>
      </c>
      <c r="U42" s="12" cm="1" t="str">
        <f t="array" ref="U42">IF(($N42="")*($P42=""),"",IF(($N42&lt;&gt;"")*($N42&gt;TODAY()-9)*($N42&lt;TODAY()+1)*($P42&lt;&gt;"")*($P42&gt;=TODAY())*($P42&lt;=TODAY()+13),"Semaine passée &amp; à venir",IF(($N42&lt;&gt;"")*($N42&gt;TODAY()-9)*($N42&lt;TODAY()+1),"Semaine passée",IF(($P42&lt;&gt;"")*($P42&gt;=TODAY())*($P42&lt;=TODAY()+13),"À venir","Autre"))))</f>
        <v>Semaine passée</v>
      </c>
      <c r="V42" s="5" cm="1" t="n">
        <f t="array" ref="V42">IF(C42&lt;&gt;"",1,0)</f>
        <v>1</v>
      </c>
      <c r="W42" s="5">
</c>
      <c r="X42" s="5">
</c>
      <c r="Y42" s="5">
</c>
      <c r="Z42" s="5">
</c>
      <c r="AA42" s="5">
</c>
      <c r="AB42" s="5">
</c>
      <c r="AC42" s="5">
</c>
      <c r="AD42" s="5">
</c>
      <c r="AE42" s="5">
</c>
      <c r="AF42" s="5">
</c>
      <c r="AG42" s="5">
</c>
      <c r="AH42" s="5">
</c>
      <c r="AI42" s="5">
</c>
      <c r="AJ42" s="5">
</c>
      <c r="AK42" s="5">
</c>
    </row>
    <row r="43" ht="65.25" customHeight="1">
      <c r="A43" s="6" t="s">
        <v>23</v>
      </c>
      <c r="B43" s="6" t="s">
        <v>24</v>
      </c>
      <c r="C43" s="11" t="s">
        <v>156</v>
      </c>
      <c r="D43" s="11" t="s">
        <v>157</v>
      </c>
      <c r="E43" s="6" t="s">
        <v>27</v>
      </c>
      <c r="F43" s="6" t="s">
        <v>158</v>
      </c>
      <c r="G43" s="6" cm="1" t="str">
        <f t="array" ref="G43">IF(F43="","",SUBSTITUTE(SUBSTITUTE(SUBSTITUTE(SUBSTITUTE(F43,"&lt;li&gt;",CHAR(10)),"&lt;/li&gt;",""),"&lt;br&gt;",CHAR(10)),"&lt;strong&gt;",""))</f>
        <v>&lt;p&gt;Rencontre Véronique Yang Salon Next Gen le 16/04. Mail de suivi envoyé, proposition de RDV avec Cédric et PC. Opportunité créée pour équipe Ventes. Prochaine étape&amp;nbsp;: attendre retour suite au mail de suivi et proposition de RDV. Pas de retour prospect sur fonds à ce stade.&lt;/p&gt;</v>
      </c>
      <c r="H43" s="6" cm="1" t="str">
        <f t="array" ref="H43">IF(G43="","",SUBSTITUTE(SUBSTITUTE(SUBSTITUTE(SUBSTITUTE(SUBSTITUTE(G43,"&lt;p&gt;",""),"&lt;/p&gt;",""),"&lt;ul&gt;",""),"&lt;/ul&gt;",""),"&lt;/strong&gt;",""))</f>
        <v>Rencontre Véronique Yang Salon Next Gen le 16/04. Mail de suivi envoyé, proposition de RDV avec Cédric et PC. Opportunité créée pour équipe Ventes. Prochaine étape&amp;nbsp;: attendre retour suite au mail de suivi et proposition de RDV. Pas de retour prospect sur fonds à ce stade.</v>
      </c>
      <c r="I43" s="12" cm="1" t="str">
        <f t="array" ref="I43">IF(C43="","",IF(OR(H43="",H43=0,H43=FALSE),"-",H43))</f>
        <v>Rencontre Véronique Yang Salon Next Gen le 16/04. Mail de suivi envoyé, proposition de RDV avec Cédric et PC. Opportunité créée pour équipe Ventes. Prochaine étape&amp;nbsp;: attendre retour suite au mail de suivi et proposition de RDV. Pas de retour prospect sur fonds à ce stade.</v>
      </c>
      <c r="J43" s="6" t="s">
        <v>159</v>
      </c>
      <c r="K43" s="6" t="s">
        <v>74</v>
      </c>
      <c r="L43" s="6" cm="1" t="str">
        <f t="array" ref="L43">IF(C43="","",IF(K43="Mort / Plus rien à faire","KO","OK"))</f>
        <v>OK</v>
      </c>
      <c r="M43" s="13">
        <v>46134.58462962963</v>
      </c>
      <c r="N43" s="13" cm="1" t="n">
        <f t="array" ref="N43">IF(OR(C43="",M43="",M43=0),"",M43)</f>
        <v>46134.58462962963</v>
      </c>
      <c r="O43" s="13">
        <v>46146.083333333336</v>
      </c>
      <c r="P43" s="13" cm="1" t="n">
        <f t="array" ref="P43">IF(C43="","",IF(OR(O43="",O43=0),"-",O43))</f>
        <v>46146.083333333336</v>
      </c>
      <c r="Q43" s="14">
        <v>0</v>
      </c>
      <c r="R43" s="6" cm="1" t="str">
        <f t="array" ref="R43">IF(C43="","",ROUND(Q43/1000000,3)&amp;" M€")</f>
        <v>0 M€</v>
      </c>
      <c r="S43" s="15">
        <v>10</v>
      </c>
      <c r="T43" s="6" cm="1" t="str">
        <f t="array" ref="T43">IF(C43="","",SUBSTITUTE(S43,"","")&amp;"%")</f>
        <v>10%</v>
      </c>
      <c r="U43" s="12" cm="1" t="str">
        <f t="array" ref="U43">IF(($N43="")*($P43=""),"",IF(($N43&lt;&gt;"")*($N43&gt;TODAY()-9)*($N43&lt;TODAY()+1)*($P43&lt;&gt;"")*($P43&gt;=TODAY())*($P43&lt;=TODAY()+13),"Semaine passée &amp; à venir",IF(($N43&lt;&gt;"")*($N43&gt;TODAY()-9)*($N43&lt;TODAY()+1),"Semaine passée",IF(($P43&lt;&gt;"")*($P43&gt;=TODAY())*($P43&lt;=TODAY()+13),"À venir","Autre"))))</f>
        <v>À venir</v>
      </c>
      <c r="V43" s="5" cm="1" t="n">
        <f t="array" ref="V43">IF(C43&lt;&gt;"",1,0)</f>
        <v>1</v>
      </c>
      <c r="W43" s="5">
</c>
      <c r="X43" s="5">
</c>
      <c r="Y43" s="5">
</c>
      <c r="Z43" s="5">
</c>
      <c r="AA43" s="5">
</c>
      <c r="AB43" s="5">
</c>
      <c r="AC43" s="5">
</c>
      <c r="AD43" s="5">
</c>
      <c r="AE43" s="5">
</c>
      <c r="AF43" s="5">
</c>
      <c r="AG43" s="5">
</c>
      <c r="AH43" s="5">
</c>
      <c r="AI43" s="5">
</c>
      <c r="AJ43" s="5">
</c>
      <c r="AK43" s="5">
</c>
    </row>
    <row r="44" ht="65.25" customHeight="1">
      <c r="A44" s="6" t="s">
        <v>23</v>
      </c>
      <c r="B44" s="6" t="s">
        <v>160</v>
      </c>
      <c r="C44" s="11" t="s">
        <v>161</v>
      </c>
      <c r="D44" s="11" t="s">
        <v>162</v>
      </c>
      <c r="E44" s="6" t="s">
        <v>35</v>
      </c>
      <c r="F44" s="6" t="s">
        <v>163</v>
      </c>
      <c r="G44" s="6" cm="1" t="str">
        <f t="array" ref="G44">IF(F44="","",SUBSTITUTE(SUBSTITUTE(SUBSTITUTE(SUBSTITUTE(F44,"&lt;li&gt;",CHAR(10)),"&lt;/li&gt;",""),"&lt;br&gt;",CHAR(10)),"&lt;strong&gt;",""))</f>
        <v>&lt;p&gt;Nouvelle piste créée équipe Ventes, origine lead de CJ, aucun échange ou activité ultérieure enregistrée, pas de retour prospect ni d'action planifiée. Aucun suivi ou interaction supplémentaire constaté à ce jour. Prochaines étapes non définies, aucune activité programmée.&lt;/p&gt;</v>
      </c>
      <c r="H44" s="6" cm="1" t="str">
        <f t="array" ref="H44">IF(G44="","",SUBSTITUTE(SUBSTITUTE(SUBSTITUTE(SUBSTITUTE(SUBSTITUTE(G44,"&lt;p&gt;",""),"&lt;/p&gt;",""),"&lt;ul&gt;",""),"&lt;/ul&gt;",""),"&lt;/strong&gt;",""))</f>
        <v>Nouvelle piste créée équipe Ventes, origine lead de CJ, aucun échange ou activité ultérieure enregistrée, pas de retour prospect ni d'action planifiée. Aucun suivi ou interaction supplémentaire constaté à ce jour. Prochaines étapes non définies, aucune activité programmée.</v>
      </c>
      <c r="I44" s="12" cm="1" t="str">
        <f t="array" ref="I44">IF(C44="","",IF(OR(H44="",H44=0,H44=FALSE),"-",H44))</f>
        <v>Nouvelle piste créée équipe Ventes, origine lead de CJ, aucun échange ou activité ultérieure enregistrée, pas de retour prospect ni d'action planifiée. Aucun suivi ou interaction supplémentaire constaté à ce jour. Prochaines étapes non définies, aucune activité programmée.</v>
      </c>
      <c r="J44" s="6" t="s">
        <v>164</v>
      </c>
      <c r="K44" s="6" t="s">
        <v>74</v>
      </c>
      <c r="L44" s="6" cm="1" t="str">
        <f t="array" ref="L44">IF(C44="","",IF(K44="Mort / Plus rien à faire","KO","OK"))</f>
        <v>OK</v>
      </c>
      <c r="M44" s="13">
        <v>46092.70575231482</v>
      </c>
      <c r="N44" s="13" cm="1" t="n">
        <f t="array" ref="N44">IF(OR(C44="",M44="",M44=0),"",M44)</f>
        <v>46092.70575231482</v>
      </c>
      <c r="O44" s="13">
</c>
      <c r="P44" s="13" cm="1" t="str">
        <f t="array" ref="P44">IF(C44="","",IF(OR(O44="",O44=0),"-",O44))</f>
        <v>-</v>
      </c>
      <c r="Q44" s="14">
        <v>0</v>
      </c>
      <c r="R44" s="6" cm="1" t="str">
        <f t="array" ref="R44">IF(C44="","",ROUND(Q44/1000000,3)&amp;" M€")</f>
        <v>0 M€</v>
      </c>
      <c r="S44" s="15">
        <v>10</v>
      </c>
      <c r="T44" s="6" cm="1" t="str">
        <f t="array" ref="T44">IF(C44="","",SUBSTITUTE(S44,"","")&amp;"%")</f>
        <v>10%</v>
      </c>
      <c r="U44" s="12" cm="1" t="str">
        <f t="array" ref="U44">IF(($N44="")*($P44=""),"",IF(($N44&lt;&gt;"")*($N44&gt;TODAY()-9)*($N44&lt;TODAY()+1)*($P44&lt;&gt;"")*($P44&gt;=TODAY())*($P44&lt;=TODAY()+13),"Semaine passée &amp; à venir",IF(($N44&lt;&gt;"")*($N44&gt;TODAY()-9)*($N44&lt;TODAY()+1),"Semaine passée",IF(($P44&lt;&gt;"")*($P44&gt;=TODAY())*($P44&lt;=TODAY()+13),"À venir","Autre"))))</f>
        <v>Autre</v>
      </c>
      <c r="V44" s="5" cm="1" t="n">
        <f t="array" ref="V44">IF(C44&lt;&gt;"",1,0)</f>
        <v>1</v>
      </c>
      <c r="W44" s="5">
</c>
      <c r="X44" s="5">
</c>
      <c r="Y44" s="5">
</c>
      <c r="Z44" s="5">
</c>
      <c r="AA44" s="5">
</c>
      <c r="AB44" s="5">
</c>
      <c r="AC44" s="5">
</c>
      <c r="AD44" s="5">
</c>
      <c r="AE44" s="5">
</c>
      <c r="AF44" s="5">
</c>
      <c r="AG44" s="5">
</c>
      <c r="AH44" s="5">
</c>
      <c r="AI44" s="5">
</c>
      <c r="AJ44" s="5">
</c>
      <c r="AK44" s="5">
</c>
    </row>
    <row r="45" ht="65.25" customHeight="1">
      <c r="A45" s="6" t="s">
        <v>23</v>
      </c>
      <c r="B45" s="6">
</c>
      <c r="C45" s="11" t="s">
        <v>165</v>
      </c>
      <c r="D45" s="11" t="s">
        <v>166</v>
      </c>
      <c r="E45" s="6" t="s">
        <v>44</v>
      </c>
      <c r="F45" s="6" t="s">
        <v>167</v>
      </c>
      <c r="G45" s="6" cm="1" t="str">
        <f t="array" ref="G45">IF(F45="","",SUBSTITUTE(SUBSTITUTE(SUBSTITUTE(SUBSTITUTE(F45,"&lt;li&gt;",CHAR(10)),"&lt;/li&gt;",""),"&lt;br&gt;",CHAR(10)),"&lt;strong&gt;",""))</f>
        <v>&lt;p&gt;Piste créée pour équipe Ventes, email non valide donc enrichissement impossible. Prospect déjà pitché, à recontacter par LG. Pas d'autres actions ou retours du prospect à ce stade. Prochaine étape : relance par LG. Aucune mention de comité ni de contexte de création spécifique.&lt;/p&gt;</v>
      </c>
      <c r="H45" s="6" cm="1" t="str">
        <f t="array" ref="H45">IF(G45="","",SUBSTITUTE(SUBSTITUTE(SUBSTITUTE(SUBSTITUTE(SUBSTITUTE(G45,"&lt;p&gt;",""),"&lt;/p&gt;",""),"&lt;ul&gt;",""),"&lt;/ul&gt;",""),"&lt;/strong&gt;",""))</f>
        <v>Piste créée pour équipe Ventes, email non valide donc enrichissement impossible. Prospect déjà pitché, à recontacter par LG. Pas d'autres actions ou retours du prospect à ce stade. Prochaine étape : relance par LG. Aucune mention de comité ni de contexte de création spécifique.</v>
      </c>
      <c r="I45" s="12" cm="1" t="str">
        <f t="array" ref="I45">IF(C45="","",IF(OR(H45="",H45=0,H45=FALSE),"-",H45))</f>
        <v>Piste créée pour équipe Ventes, email non valide donc enrichissement impossible. Prospect déjà pitché, à recontacter par LG. Pas d'autres actions ou retours du prospect à ce stade. Prochaine étape : relance par LG. Aucune mention de comité ni de contexte de création spécifique.</v>
      </c>
      <c r="J45" s="6">
</c>
      <c r="K45" s="6" t="s">
        <v>74</v>
      </c>
      <c r="L45" s="6" cm="1" t="str">
        <f t="array" ref="L45">IF(C45="","",IF(K45="Mort / Plus rien à faire","KO","OK"))</f>
        <v>OK</v>
      </c>
      <c r="M45" s="13">
        <v>46139.63384259259</v>
      </c>
      <c r="N45" s="13" cm="1" t="n">
        <f t="array" ref="N45">IF(OR(C45="",M45="",M45=0),"",M45)</f>
        <v>46139.63384259259</v>
      </c>
      <c r="O45" s="13">
</c>
      <c r="P45" s="13" cm="1" t="str">
        <f t="array" ref="P45">IF(C45="","",IF(OR(O45="",O45=0),"-",O45))</f>
        <v>-</v>
      </c>
      <c r="Q45" s="14">
        <v>0</v>
      </c>
      <c r="R45" s="6" cm="1" t="str">
        <f t="array" ref="R45">IF(C45="","",ROUND(Q45/1000000,3)&amp;" M€")</f>
        <v>0 M€</v>
      </c>
      <c r="S45" s="15">
        <v>10</v>
      </c>
      <c r="T45" s="6" cm="1" t="str">
        <f t="array" ref="T45">IF(C45="","",SUBSTITUTE(S45,"","")&amp;"%")</f>
        <v>10%</v>
      </c>
      <c r="U45" s="12" cm="1" t="str">
        <f t="array" ref="U45">IF(($N45="")*($P45=""),"",IF(($N45&lt;&gt;"")*($N45&gt;TODAY()-9)*($N45&lt;TODAY()+1)*($P45&lt;&gt;"")*($P45&gt;=TODAY())*($P45&lt;=TODAY()+13),"Semaine passée &amp; à venir",IF(($N45&lt;&gt;"")*($N45&gt;TODAY()-9)*($N45&lt;TODAY()+1),"Semaine passée",IF(($P45&lt;&gt;"")*($P45&gt;=TODAY())*($P45&lt;=TODAY()+13),"À venir","Autre"))))</f>
        <v>Semaine passée</v>
      </c>
      <c r="V45" s="5" cm="1" t="n">
        <f t="array" ref="V45">IF(C45&lt;&gt;"",1,0)</f>
        <v>1</v>
      </c>
      <c r="W45" s="5">
</c>
      <c r="X45" s="5">
</c>
      <c r="Y45" s="5">
</c>
      <c r="Z45" s="5">
</c>
      <c r="AA45" s="5">
</c>
      <c r="AB45" s="5">
</c>
      <c r="AC45" s="5">
</c>
      <c r="AD45" s="5">
</c>
      <c r="AE45" s="5">
</c>
      <c r="AF45" s="5">
</c>
      <c r="AG45" s="5">
</c>
      <c r="AH45" s="5">
</c>
      <c r="AI45" s="5">
</c>
      <c r="AJ45" s="5">
</c>
      <c r="AK45" s="5">
</c>
    </row>
    <row r="46" ht="65.25" customHeight="1">
      <c r="A46" s="6" t="s">
        <v>23</v>
      </c>
      <c r="B46" s="6" t="s">
        <v>106</v>
      </c>
      <c r="C46" s="11" t="s">
        <v>168</v>
      </c>
      <c r="D46" s="11" t="s">
        <v>169</v>
      </c>
      <c r="E46" s="6" t="s">
        <v>44</v>
      </c>
      <c r="F46" s="6" t="s">
        <v>170</v>
      </c>
      <c r="G46" s="6" cm="1" t="str">
        <f t="array" ref="G46">IF(F46="","",SUBSTITUTE(SUBSTITUTE(SUBSTITUTE(SUBSTITUTE(F46,"&lt;li&gt;",CHAR(10)),"&lt;/li&gt;",""),"&lt;br&gt;",CHAR(10)),"&lt;strong&gt;",""))</f>
        <v>&lt;p&gt;Nouvelle piste créée équipe Ventes. Enrichissement impossible, email invalide. Déjà pitché, mais pas à cette personne, à recontacter par LG. Pas d'autres actions ni retours du prospect. Prochaine étape : prise de contact par LG. Aucun retour prospect sur fonds présentés à ce stade.&lt;/p&gt;</v>
      </c>
      <c r="H46" s="6" cm="1" t="str">
        <f t="array" ref="H46">IF(G46="","",SUBSTITUTE(SUBSTITUTE(SUBSTITUTE(SUBSTITUTE(SUBSTITUTE(G46,"&lt;p&gt;",""),"&lt;/p&gt;",""),"&lt;ul&gt;",""),"&lt;/ul&gt;",""),"&lt;/strong&gt;",""))</f>
        <v>Nouvelle piste créée équipe Ventes. Enrichissement impossible, email invalide. Déjà pitché, mais pas à cette personne, à recontacter par LG. Pas d'autres actions ni retours du prospect. Prochaine étape : prise de contact par LG. Aucun retour prospect sur fonds présentés à ce stade.</v>
      </c>
      <c r="I46" s="12" cm="1" t="str">
        <f t="array" ref="I46">IF(C46="","",IF(OR(H46="",H46=0,H46=FALSE),"-",H46))</f>
        <v>Nouvelle piste créée équipe Ventes. Enrichissement impossible, email invalide. Déjà pitché, mais pas à cette personne, à recontacter par LG. Pas d'autres actions ni retours du prospect. Prochaine étape : prise de contact par LG. Aucun retour prospect sur fonds présentés à ce stade.</v>
      </c>
      <c r="J46" s="6">
</c>
      <c r="K46" s="6" t="s">
        <v>74</v>
      </c>
      <c r="L46" s="6" cm="1" t="str">
        <f t="array" ref="L46">IF(C46="","",IF(K46="Mort / Plus rien à faire","KO","OK"))</f>
        <v>OK</v>
      </c>
      <c r="M46" s="13">
        <v>46139.64231481482</v>
      </c>
      <c r="N46" s="13" cm="1" t="n">
        <f t="array" ref="N46">IF(OR(C46="",M46="",M46=0),"",M46)</f>
        <v>46139.64231481482</v>
      </c>
      <c r="O46" s="13">
</c>
      <c r="P46" s="13" cm="1" t="str">
        <f t="array" ref="P46">IF(C46="","",IF(OR(O46="",O46=0),"-",O46))</f>
        <v>-</v>
      </c>
      <c r="Q46" s="14">
        <v>0</v>
      </c>
      <c r="R46" s="6" cm="1" t="str">
        <f t="array" ref="R46">IF(C46="","",ROUND(Q46/1000000,3)&amp;" M€")</f>
        <v>0 M€</v>
      </c>
      <c r="S46" s="15">
        <v>10</v>
      </c>
      <c r="T46" s="6" cm="1" t="str">
        <f t="array" ref="T46">IF(C46="","",SUBSTITUTE(S46,"","")&amp;"%")</f>
        <v>10%</v>
      </c>
      <c r="U46" s="12" cm="1" t="str">
        <f t="array" ref="U46">IF(($N46="")*($P46=""),"",IF(($N46&lt;&gt;"")*($N46&gt;TODAY()-9)*($N46&lt;TODAY()+1)*($P46&lt;&gt;"")*($P46&gt;=TODAY())*($P46&lt;=TODAY()+13),"Semaine passée &amp; à venir",IF(($N46&lt;&gt;"")*($N46&gt;TODAY()-9)*($N46&lt;TODAY()+1),"Semaine passée",IF(($P46&lt;&gt;"")*($P46&gt;=TODAY())*($P46&lt;=TODAY()+13),"À venir","Autre"))))</f>
        <v>Semaine passée</v>
      </c>
      <c r="V46" s="5" cm="1" t="n">
        <f t="array" ref="V46">IF(C46&lt;&gt;"",1,0)</f>
        <v>1</v>
      </c>
      <c r="W46" s="5">
</c>
      <c r="X46" s="5">
</c>
      <c r="Y46" s="5">
</c>
      <c r="Z46" s="5">
</c>
      <c r="AA46" s="5">
</c>
      <c r="AB46" s="5">
</c>
      <c r="AC46" s="5">
</c>
      <c r="AD46" s="5">
</c>
      <c r="AE46" s="5">
</c>
      <c r="AF46" s="5">
</c>
      <c r="AG46" s="5">
</c>
      <c r="AH46" s="5">
</c>
      <c r="AI46" s="5">
</c>
      <c r="AJ46" s="5">
</c>
      <c r="AK46" s="5">
</c>
    </row>
    <row r="47" ht="65.25" customHeight="1">
      <c r="A47" s="6" t="s">
        <v>23</v>
      </c>
      <c r="B47" s="6">
</c>
      <c r="C47" s="11" t="s">
        <v>171</v>
      </c>
      <c r="D47" s="11" t="s">
        <v>172</v>
      </c>
      <c r="E47" s="6" t="s">
        <v>44</v>
      </c>
      <c r="F47" s="6" t="s">
        <v>173</v>
      </c>
      <c r="G47" s="6" cm="1" t="str">
        <f t="array" ref="G47">IF(F47="","",SUBSTITUTE(SUBSTITUTE(SUBSTITUTE(SUBSTITUTE(F47,"&lt;li&gt;",CHAR(10)),"&lt;/li&gt;",""),"&lt;br&gt;",CHAR(10)),"&lt;strong&gt;",""))</f>
        <v>&lt;p&gt;Piste créée pour équipe Ventes, email prospect non valide, enrichissement impossible. Déjà pitché, à recontacter par LG. Pas d'autres actions ni retours prospect sur fonds. Prochaine étape : prise de contact par LG. Aucun passage en comité mentionné.&lt;/p&gt;</v>
      </c>
      <c r="H47" s="6" cm="1" t="str">
        <f t="array" ref="H47">IF(G47="","",SUBSTITUTE(SUBSTITUTE(SUBSTITUTE(SUBSTITUTE(SUBSTITUTE(G47,"&lt;p&gt;",""),"&lt;/p&gt;",""),"&lt;ul&gt;",""),"&lt;/ul&gt;",""),"&lt;/strong&gt;",""))</f>
        <v>Piste créée pour équipe Ventes, email prospect non valide, enrichissement impossible. Déjà pitché, à recontacter par LG. Pas d'autres actions ni retours prospect sur fonds. Prochaine étape : prise de contact par LG. Aucun passage en comité mentionné.</v>
      </c>
      <c r="I47" s="12" cm="1" t="str">
        <f t="array" ref="I47">IF(C47="","",IF(OR(H47="",H47=0,H47=FALSE),"-",H47))</f>
        <v>Piste créée pour équipe Ventes, email prospect non valide, enrichissement impossible. Déjà pitché, à recontacter par LG. Pas d'autres actions ni retours prospect sur fonds. Prochaine étape : prise de contact par LG. Aucun passage en comité mentionné.</v>
      </c>
      <c r="J47" s="6">
</c>
      <c r="K47" s="6" t="s">
        <v>74</v>
      </c>
      <c r="L47" s="6" cm="1" t="str">
        <f t="array" ref="L47">IF(C47="","",IF(K47="Mort / Plus rien à faire","KO","OK"))</f>
        <v>OK</v>
      </c>
      <c r="M47" s="13">
        <v>46139.634305555555</v>
      </c>
      <c r="N47" s="13" cm="1" t="n">
        <f t="array" ref="N47">IF(OR(C47="",M47="",M47=0),"",M47)</f>
        <v>46139.634305555555</v>
      </c>
      <c r="O47" s="13">
</c>
      <c r="P47" s="13" cm="1" t="str">
        <f t="array" ref="P47">IF(C47="","",IF(OR(O47="",O47=0),"-",O47))</f>
        <v>-</v>
      </c>
      <c r="Q47" s="14">
        <v>0</v>
      </c>
      <c r="R47" s="6" cm="1" t="str">
        <f t="array" ref="R47">IF(C47="","",ROUND(Q47/1000000,3)&amp;" M€")</f>
        <v>0 M€</v>
      </c>
      <c r="S47" s="15">
        <v>10</v>
      </c>
      <c r="T47" s="6" cm="1" t="str">
        <f t="array" ref="T47">IF(C47="","",SUBSTITUTE(S47,"","")&amp;"%")</f>
        <v>10%</v>
      </c>
      <c r="U47" s="12" cm="1" t="str">
        <f t="array" ref="U47">IF(($N47="")*($P47=""),"",IF(($N47&lt;&gt;"")*($N47&gt;TODAY()-9)*($N47&lt;TODAY()+1)*($P47&lt;&gt;"")*($P47&gt;=TODAY())*($P47&lt;=TODAY()+13),"Semaine passée &amp; à venir",IF(($N47&lt;&gt;"")*($N47&gt;TODAY()-9)*($N47&lt;TODAY()+1),"Semaine passée",IF(($P47&lt;&gt;"")*($P47&gt;=TODAY())*($P47&lt;=TODAY()+13),"À venir","Autre"))))</f>
        <v>Semaine passée</v>
      </c>
      <c r="V47" s="5" cm="1" t="n">
        <f t="array" ref="V47">IF(C47&lt;&gt;"",1,0)</f>
        <v>1</v>
      </c>
      <c r="W47" s="5">
</c>
      <c r="X47" s="5">
</c>
      <c r="Y47" s="5">
</c>
      <c r="Z47" s="5">
</c>
      <c r="AA47" s="5">
</c>
      <c r="AB47" s="5">
</c>
      <c r="AC47" s="5">
</c>
      <c r="AD47" s="5">
</c>
      <c r="AE47" s="5">
</c>
      <c r="AF47" s="5">
</c>
      <c r="AG47" s="5">
</c>
      <c r="AH47" s="5">
</c>
      <c r="AI47" s="5">
</c>
      <c r="AJ47" s="5">
</c>
      <c r="AK47" s="5">
</c>
    </row>
    <row r="48" ht="65.25" customHeight="1">
      <c r="A48" s="6" t="s">
        <v>23</v>
      </c>
      <c r="B48" s="6" t="s">
        <v>106</v>
      </c>
      <c r="C48" s="11" t="s">
        <v>174</v>
      </c>
      <c r="D48" s="11" t="s">
        <v>175</v>
      </c>
      <c r="E48" s="6" t="s">
        <v>44</v>
      </c>
      <c r="F48" s="6" t="s">
        <v>176</v>
      </c>
      <c r="G48" s="6" cm="1" t="str">
        <f t="array" ref="G48">IF(F48="","",SUBSTITUTE(SUBSTITUTE(SUBSTITUTE(SUBSTITUTE(F48,"&lt;li&gt;",CHAR(10)),"&lt;/li&gt;",""),"&lt;br&gt;",CHAR(10)),"&lt;strong&gt;",""))</f>
        <v>&lt;p&gt;Nouvelle piste créée équipe Ventes. Tentative d'enrichissement échouée (email non valide). À contacter par LG, déjà pitché mais pas à cette personne. Pas d'autres actions ou retours prospect. Prochaine étape&amp;nbsp;: prise de contact par LG.&lt;/p&gt;</v>
      </c>
      <c r="H48" s="6" cm="1" t="str">
        <f t="array" ref="H48">IF(G48="","",SUBSTITUTE(SUBSTITUTE(SUBSTITUTE(SUBSTITUTE(SUBSTITUTE(G48,"&lt;p&gt;",""),"&lt;/p&gt;",""),"&lt;ul&gt;",""),"&lt;/ul&gt;",""),"&lt;/strong&gt;",""))</f>
        <v>Nouvelle piste créée équipe Ventes. Tentative d'enrichissement échouée (email non valide). À contacter par LG, déjà pitché mais pas à cette personne. Pas d'autres actions ou retours prospect. Prochaine étape&amp;nbsp;: prise de contact par LG.</v>
      </c>
      <c r="I48" s="12" cm="1" t="str">
        <f t="array" ref="I48">IF(C48="","",IF(OR(H48="",H48=0,H48=FALSE),"-",H48))</f>
        <v>Nouvelle piste créée équipe Ventes. Tentative d'enrichissement échouée (email non valide). À contacter par LG, déjà pitché mais pas à cette personne. Pas d'autres actions ou retours prospect. Prochaine étape&amp;nbsp;: prise de contact par LG.</v>
      </c>
      <c r="J48" s="6">
</c>
      <c r="K48" s="6" t="s">
        <v>74</v>
      </c>
      <c r="L48" s="6" cm="1" t="str">
        <f t="array" ref="L48">IF(C48="","",IF(K48="Mort / Plus rien à faire","KO","OK"))</f>
        <v>OK</v>
      </c>
      <c r="M48" s="13">
        <v>46139.63415509259</v>
      </c>
      <c r="N48" s="13" cm="1" t="n">
        <f t="array" ref="N48">IF(OR(C48="",M48="",M48=0),"",M48)</f>
        <v>46139.63415509259</v>
      </c>
      <c r="O48" s="13">
</c>
      <c r="P48" s="13" cm="1" t="str">
        <f t="array" ref="P48">IF(C48="","",IF(OR(O48="",O48=0),"-",O48))</f>
        <v>-</v>
      </c>
      <c r="Q48" s="14">
        <v>0</v>
      </c>
      <c r="R48" s="6" cm="1" t="str">
        <f t="array" ref="R48">IF(C48="","",ROUND(Q48/1000000,3)&amp;" M€")</f>
        <v>0 M€</v>
      </c>
      <c r="S48" s="15">
        <v>10</v>
      </c>
      <c r="T48" s="6" cm="1" t="str">
        <f t="array" ref="T48">IF(C48="","",SUBSTITUTE(S48,"","")&amp;"%")</f>
        <v>10%</v>
      </c>
      <c r="U48" s="12" cm="1" t="str">
        <f t="array" ref="U48">IF(($N48="")*($P48=""),"",IF(($N48&lt;&gt;"")*($N48&gt;TODAY()-9)*($N48&lt;TODAY()+1)*($P48&lt;&gt;"")*($P48&gt;=TODAY())*($P48&lt;=TODAY()+13),"Semaine passée &amp; à venir",IF(($N48&lt;&gt;"")*($N48&gt;TODAY()-9)*($N48&lt;TODAY()+1),"Semaine passée",IF(($P48&lt;&gt;"")*($P48&gt;=TODAY())*($P48&lt;=TODAY()+13),"À venir","Autre"))))</f>
        <v>Semaine passée</v>
      </c>
      <c r="V48" s="5" cm="1" t="n">
        <f t="array" ref="V48">IF(C48&lt;&gt;"",1,0)</f>
        <v>1</v>
      </c>
      <c r="W48" s="5">
</c>
      <c r="X48" s="5">
</c>
      <c r="Y48" s="5">
</c>
      <c r="Z48" s="5">
</c>
      <c r="AA48" s="5">
</c>
      <c r="AB48" s="5">
</c>
      <c r="AC48" s="5">
</c>
      <c r="AD48" s="5">
</c>
      <c r="AE48" s="5">
</c>
      <c r="AF48" s="5">
</c>
      <c r="AG48" s="5">
</c>
      <c r="AH48" s="5">
</c>
      <c r="AI48" s="5">
</c>
      <c r="AJ48" s="5">
</c>
      <c r="AK48" s="5">
</c>
    </row>
    <row r="49" ht="65.25" customHeight="1">
      <c r="A49" s="6" t="s">
        <v>23</v>
      </c>
      <c r="B49" s="6">
</c>
      <c r="C49" s="11" t="s">
        <v>177</v>
      </c>
      <c r="D49" s="11" t="s">
        <v>178</v>
      </c>
      <c r="E49" s="6" t="s">
        <v>44</v>
      </c>
      <c r="F49" s="6" t="s">
        <v>179</v>
      </c>
      <c r="G49" s="6" cm="1" t="str">
        <f t="array" ref="G49">IF(F49="","",SUBSTITUTE(SUBSTITUTE(SUBSTITUTE(SUBSTITUTE(F49,"&lt;li&gt;",CHAR(10)),"&lt;/li&gt;",""),"&lt;br&gt;",CHAR(10)),"&lt;strong&gt;",""))</f>
        <v>&lt;p&gt;Piste créée équipe Ventes. Enrichissement lead impossible (email invalide). Prospect déjà pitché, à recontacter par LG. Pas d'autres actions ou retours prospect mentionnés. Prochaine étape : relancer contact par LG. Aucun retour prospect sur fonds présenté à ce stade.&lt;/p&gt;</v>
      </c>
      <c r="H49" s="6" cm="1" t="str">
        <f t="array" ref="H49">IF(G49="","",SUBSTITUTE(SUBSTITUTE(SUBSTITUTE(SUBSTITUTE(SUBSTITUTE(G49,"&lt;p&gt;",""),"&lt;/p&gt;",""),"&lt;ul&gt;",""),"&lt;/ul&gt;",""),"&lt;/strong&gt;",""))</f>
        <v>Piste créée équipe Ventes. Enrichissement lead impossible (email invalide). Prospect déjà pitché, à recontacter par LG. Pas d'autres actions ou retours prospect mentionnés. Prochaine étape : relancer contact par LG. Aucun retour prospect sur fonds présenté à ce stade.</v>
      </c>
      <c r="I49" s="12" cm="1" t="str">
        <f t="array" ref="I49">IF(C49="","",IF(OR(H49="",H49=0,H49=FALSE),"-",H49))</f>
        <v>Piste créée équipe Ventes. Enrichissement lead impossible (email invalide). Prospect déjà pitché, à recontacter par LG. Pas d'autres actions ou retours prospect mentionnés. Prochaine étape : relancer contact par LG. Aucun retour prospect sur fonds présenté à ce stade.</v>
      </c>
      <c r="J49" s="6">
</c>
      <c r="K49" s="6" t="s">
        <v>74</v>
      </c>
      <c r="L49" s="6" cm="1" t="str">
        <f t="array" ref="L49">IF(C49="","",IF(K49="Mort / Plus rien à faire","KO","OK"))</f>
        <v>OK</v>
      </c>
      <c r="M49" s="13">
        <v>46139.634039351855</v>
      </c>
      <c r="N49" s="13" cm="1" t="n">
        <f t="array" ref="N49">IF(OR(C49="",M49="",M49=0),"",M49)</f>
        <v>46139.634039351855</v>
      </c>
      <c r="O49" s="13">
</c>
      <c r="P49" s="13" cm="1" t="str">
        <f t="array" ref="P49">IF(C49="","",IF(OR(O49="",O49=0),"-",O49))</f>
        <v>-</v>
      </c>
      <c r="Q49" s="14">
        <v>0</v>
      </c>
      <c r="R49" s="6" cm="1" t="str">
        <f t="array" ref="R49">IF(C49="","",ROUND(Q49/1000000,3)&amp;" M€")</f>
        <v>0 M€</v>
      </c>
      <c r="S49" s="15">
        <v>10</v>
      </c>
      <c r="T49" s="6" cm="1" t="str">
        <f t="array" ref="T49">IF(C49="","",SUBSTITUTE(S49,"","")&amp;"%")</f>
        <v>10%</v>
      </c>
      <c r="U49" s="12" cm="1" t="str">
        <f t="array" ref="U49">IF(($N49="")*($P49=""),"",IF(($N49&lt;&gt;"")*($N49&gt;TODAY()-9)*($N49&lt;TODAY()+1)*($P49&lt;&gt;"")*($P49&gt;=TODAY())*($P49&lt;=TODAY()+13),"Semaine passée &amp; à venir",IF(($N49&lt;&gt;"")*($N49&gt;TODAY()-9)*($N49&lt;TODAY()+1),"Semaine passée",IF(($P49&lt;&gt;"")*($P49&gt;=TODAY())*($P49&lt;=TODAY()+13),"À venir","Autre"))))</f>
        <v>Semaine passée</v>
      </c>
      <c r="V49" s="5" cm="1" t="n">
        <f t="array" ref="V49">IF(C49&lt;&gt;"",1,0)</f>
        <v>1</v>
      </c>
      <c r="W49" s="5">
</c>
      <c r="X49" s="5">
</c>
      <c r="Y49" s="5">
</c>
      <c r="Z49" s="5">
</c>
      <c r="AA49" s="5">
</c>
      <c r="AB49" s="5">
</c>
      <c r="AC49" s="5">
</c>
      <c r="AD49" s="5">
</c>
      <c r="AE49" s="5">
</c>
      <c r="AF49" s="5">
</c>
      <c r="AG49" s="5">
</c>
      <c r="AH49" s="5">
</c>
      <c r="AI49" s="5">
</c>
      <c r="AJ49" s="5">
</c>
      <c r="AK49" s="5">
</c>
    </row>
    <row r="50" ht="65.25" customHeight="1">
      <c r="A50" s="6" t="s">
        <v>23</v>
      </c>
      <c r="B50" s="6" t="s">
        <v>69</v>
      </c>
      <c r="C50" s="11" t="s">
        <v>110</v>
      </c>
      <c r="D50" s="11" t="s">
        <v>180</v>
      </c>
      <c r="E50" s="6" t="s">
        <v>56</v>
      </c>
      <c r="F50" s="6" t="s">
        <v>181</v>
      </c>
      <c r="G50" s="6" cm="1" t="str">
        <f t="array" ref="G50">IF(F50="","",SUBSTITUTE(SUBSTITUTE(SUBSTITUTE(SUBSTITUTE(F50,"&lt;li&gt;",CHAR(10)),"&lt;/li&gt;",""),"&lt;br&gt;",CHAR(10)),"&lt;strong&gt;",""))</f>
        <v>&lt;p&gt;Déj 07/04/2026 CJ/Bourdin&amp;nbsp;: intérêt club deal tech (IndoSuez), lead FCPI 2027, préparer candidature remplacement mandat Partech. Mail CJ&amp;nbsp;: envoi doc FCPI, brainstorming véhicule commun pour 2027, dispo pour questions. Prochaine étape&amp;nbsp;: actions à suivre par Cedric, deadline 24/04/2026.&lt;/p&gt;</v>
      </c>
      <c r="H50" s="6" cm="1" t="str">
        <f t="array" ref="H50">IF(G50="","",SUBSTITUTE(SUBSTITUTE(SUBSTITUTE(SUBSTITUTE(SUBSTITUTE(G50,"&lt;p&gt;",""),"&lt;/p&gt;",""),"&lt;ul&gt;",""),"&lt;/ul&gt;",""),"&lt;/strong&gt;",""))</f>
        <v>Déj 07/04/2026 CJ/Bourdin&amp;nbsp;: intérêt club deal tech (IndoSuez), lead FCPI 2027, préparer candidature remplacement mandat Partech. Mail CJ&amp;nbsp;: envoi doc FCPI, brainstorming véhicule commun pour 2027, dispo pour questions. Prochaine étape&amp;nbsp;: actions à suivre par Cedric, deadline 24/04/2026.</v>
      </c>
      <c r="I50" s="12" cm="1" t="str">
        <f t="array" ref="I50">IF(C50="","",IF(OR(H50="",H50=0,H50=FALSE),"-",H50))</f>
        <v>Déj 07/04/2026 CJ/Bourdin&amp;nbsp;: intérêt club deal tech (IndoSuez), lead FCPI 2027, préparer candidature remplacement mandat Partech. Mail CJ&amp;nbsp;: envoi doc FCPI, brainstorming véhicule commun pour 2027, dispo pour questions. Prochaine étape&amp;nbsp;: actions à suivre par Cedric, deadline 24/04/2026.</v>
      </c>
      <c r="J50" s="6" t="s">
        <v>182</v>
      </c>
      <c r="K50" s="6" t="s">
        <v>74</v>
      </c>
      <c r="L50" s="6" cm="1" t="str">
        <f t="array" ref="L50">IF(C50="","",IF(K50="Mort / Plus rien à faire","KO","OK"))</f>
        <v>OK</v>
      </c>
      <c r="M50" s="13">
        <v>46125.42335648148</v>
      </c>
      <c r="N50" s="13" cm="1" t="n">
        <f t="array" ref="N50">IF(OR(C50="",M50="",M50=0),"",M50)</f>
        <v>46125.42335648148</v>
      </c>
      <c r="O50" s="13">
</c>
      <c r="P50" s="13" cm="1" t="str">
        <f t="array" ref="P50">IF(C50="","",IF(OR(O50="",O50=0),"-",O50))</f>
        <v>-</v>
      </c>
      <c r="Q50" s="14">
        <v>0</v>
      </c>
      <c r="R50" s="6" cm="1" t="str">
        <f t="array" ref="R50">IF(C50="","",ROUND(Q50/1000000,3)&amp;" M€")</f>
        <v>0 M€</v>
      </c>
      <c r="S50" s="15">
        <v>10</v>
      </c>
      <c r="T50" s="6" cm="1" t="str">
        <f t="array" ref="T50">IF(C50="","",SUBSTITUTE(S50,"","")&amp;"%")</f>
        <v>10%</v>
      </c>
      <c r="U50" s="12" cm="1" t="str">
        <f t="array" ref="U50">IF(($N50="")*($P50=""),"",IF(($N50&lt;&gt;"")*($N50&gt;TODAY()-9)*($N50&lt;TODAY()+1)*($P50&lt;&gt;"")*($P50&gt;=TODAY())*($P50&lt;=TODAY()+13),"Semaine passée &amp; à venir",IF(($N50&lt;&gt;"")*($N50&gt;TODAY()-9)*($N50&lt;TODAY()+1),"Semaine passée",IF(($P50&lt;&gt;"")*($P50&gt;=TODAY())*($P50&lt;=TODAY()+13),"À venir","Autre"))))</f>
        <v>Autre</v>
      </c>
      <c r="V50" s="5" cm="1" t="n">
        <f t="array" ref="V50">IF(C50&lt;&gt;"",1,0)</f>
        <v>1</v>
      </c>
      <c r="W50" s="5">
</c>
      <c r="X50" s="5">
</c>
      <c r="Y50" s="5">
</c>
      <c r="Z50" s="5">
</c>
      <c r="AA50" s="5">
</c>
      <c r="AB50" s="5">
</c>
      <c r="AC50" s="5">
</c>
      <c r="AD50" s="5">
</c>
      <c r="AE50" s="5">
</c>
      <c r="AF50" s="5">
</c>
      <c r="AG50" s="5">
</c>
      <c r="AH50" s="5">
</c>
      <c r="AI50" s="5">
</c>
      <c r="AJ50" s="5">
</c>
      <c r="AK50" s="5">
</c>
    </row>
    <row r="51" ht="65.25" customHeight="1">
      <c r="A51" s="6" t="s">
        <v>23</v>
      </c>
      <c r="B51" s="6" t="s">
        <v>24</v>
      </c>
      <c r="C51" s="11" t="s">
        <v>183</v>
      </c>
      <c r="D51" s="11" t="s">
        <v>184</v>
      </c>
      <c r="E51" s="6" t="s">
        <v>44</v>
      </c>
      <c r="F51" s="6" t="s">
        <v>185</v>
      </c>
      <c r="G51" s="6" cm="1" t="str">
        <f t="array" ref="G51">IF(F51="","",SUBSTITUTE(SUBSTITUTE(SUBSTITUTE(SUBSTITUTE(F51,"&lt;li&gt;",CHAR(10)),"&lt;/li&gt;",""),"&lt;br&gt;",CHAR(10)),"&lt;strong&gt;",""))</f>
        <v>&lt;p&gt;Nouvelle piste créée pour équipe Ventes. Aucun échange significatif depuis, prospect en congé maternité, relance prévue début 2027. Pas d'autres actions ou retours du prospect à ce jour. Suivi à reprendre à la date indiquée, aucune activité commerciale active actuellement.&lt;/p&gt;</v>
      </c>
      <c r="H51" s="6" cm="1" t="str">
        <f t="array" ref="H51">IF(G51="","",SUBSTITUTE(SUBSTITUTE(SUBSTITUTE(SUBSTITUTE(SUBSTITUTE(G51,"&lt;p&gt;",""),"&lt;/p&gt;",""),"&lt;ul&gt;",""),"&lt;/ul&gt;",""),"&lt;/strong&gt;",""))</f>
        <v>Nouvelle piste créée pour équipe Ventes. Aucun échange significatif depuis, prospect en congé maternité, relance prévue début 2027. Pas d'autres actions ou retours du prospect à ce jour. Suivi à reprendre à la date indiquée, aucune activité commerciale active actuellement.</v>
      </c>
      <c r="I51" s="12" cm="1" t="str">
        <f t="array" ref="I51">IF(C51="","",IF(OR(H51="",H51=0,H51=FALSE),"-",H51))</f>
        <v>Nouvelle piste créée pour équipe Ventes. Aucun échange significatif depuis, prospect en congé maternité, relance prévue début 2027. Pas d'autres actions ou retours du prospect à ce jour. Suivi à reprendre à la date indiquée, aucune activité commerciale active actuellement.</v>
      </c>
      <c r="J51" s="6">
</c>
      <c r="K51" s="6" t="s">
        <v>149</v>
      </c>
      <c r="L51" s="6" cm="1" t="str">
        <f t="array" ref="L51">IF(C51="","",IF(K51="Mort / Plus rien à faire","KO","OK"))</f>
        <v>OK</v>
      </c>
      <c r="M51" s="13">
        <v>46146.436203703706</v>
      </c>
      <c r="N51" s="13" cm="1" t="n">
        <f t="array" ref="N51">IF(OR(C51="",M51="",M51=0),"",M51)</f>
        <v>46146.436203703706</v>
      </c>
      <c r="O51" s="13">
</c>
      <c r="P51" s="13" cm="1" t="str">
        <f t="array" ref="P51">IF(C51="","",IF(OR(O51="",O51=0),"-",O51))</f>
        <v>-</v>
      </c>
      <c r="Q51" s="14">
        <v>0</v>
      </c>
      <c r="R51" s="6" cm="1" t="str">
        <f t="array" ref="R51">IF(C51="","",ROUND(Q51/1000000,3)&amp;" M€")</f>
        <v>0 M€</v>
      </c>
      <c r="S51" s="15">
        <v>10</v>
      </c>
      <c r="T51" s="6" cm="1" t="str">
        <f t="array" ref="T51">IF(C51="","",SUBSTITUTE(S51,"","")&amp;"%")</f>
        <v>10%</v>
      </c>
      <c r="U51" s="12" cm="1" t="str">
        <f t="array" ref="U51">IF(($N51="")*($P51=""),"",IF(($N51&lt;&gt;"")*($N51&gt;TODAY()-9)*($N51&lt;TODAY()+1)*($P51&lt;&gt;"")*($P51&gt;=TODAY())*($P51&lt;=TODAY()+13),"Semaine passée &amp; à venir",IF(($N51&lt;&gt;"")*($N51&gt;TODAY()-9)*($N51&lt;TODAY()+1),"Semaine passée",IF(($P51&lt;&gt;"")*($P51&gt;=TODAY())*($P51&lt;=TODAY()+13),"À venir","Autre"))))</f>
        <v>Semaine passée</v>
      </c>
      <c r="V51" s="5" cm="1" t="n">
        <f t="array" ref="V51">IF(C51&lt;&gt;"",1,0)</f>
        <v>1</v>
      </c>
      <c r="W51" s="5">
</c>
      <c r="X51" s="5">
</c>
      <c r="Y51" s="5">
</c>
      <c r="Z51" s="5">
</c>
      <c r="AA51" s="5">
</c>
      <c r="AB51" s="5">
</c>
      <c r="AC51" s="5">
</c>
      <c r="AD51" s="5">
</c>
      <c r="AE51" s="5">
</c>
      <c r="AF51" s="5">
</c>
      <c r="AG51" s="5">
</c>
      <c r="AH51" s="5">
</c>
      <c r="AI51" s="5">
</c>
      <c r="AJ51" s="5">
</c>
      <c r="AK51" s="5">
</c>
    </row>
    <row r="52" ht="65.25" customHeight="1">
      <c r="A52" s="6" t="s">
        <v>23</v>
      </c>
      <c r="B52" s="6">
</c>
      <c r="C52" s="11" t="s">
        <v>186</v>
      </c>
      <c r="D52" s="11" t="s">
        <v>187</v>
      </c>
      <c r="E52" s="6" t="s">
        <v>44</v>
      </c>
      <c r="F52" s="6" t="s">
        <v>188</v>
      </c>
      <c r="G52" s="6" cm="1" t="str">
        <f t="array" ref="G52">IF(F52="","",SUBSTITUTE(SUBSTITUTE(SUBSTITUTE(SUBSTITUTE(F52,"&lt;li&gt;",CHAR(10)),"&lt;/li&gt;",""),"&lt;br&gt;",CHAR(10)),"&lt;strong&gt;",""))</f>
        <v>&lt;p&gt;Nouvelle piste créée pour équipe Ventes. 04/05/26 - Théo Salerno : RDV en cours de programmation. Pas d'autres actions ou retours prospect à ce stade. Prochaine étape : fixer le RDV. Aucun retour sur fonds présentés ni avis prospect pour l'instant.&lt;/p&gt;</v>
      </c>
      <c r="H52" s="6" cm="1" t="str">
        <f t="array" ref="H52">IF(G52="","",SUBSTITUTE(SUBSTITUTE(SUBSTITUTE(SUBSTITUTE(SUBSTITUTE(G52,"&lt;p&gt;",""),"&lt;/p&gt;",""),"&lt;ul&gt;",""),"&lt;/ul&gt;",""),"&lt;/strong&gt;",""))</f>
        <v>Nouvelle piste créée pour équipe Ventes. 04/05/26 - Théo Salerno : RDV en cours de programmation. Pas d'autres actions ou retours prospect à ce stade. Prochaine étape : fixer le RDV. Aucun retour sur fonds présentés ni avis prospect pour l'instant.</v>
      </c>
      <c r="I52" s="12" cm="1" t="str">
        <f t="array" ref="I52">IF(C52="","",IF(OR(H52="",H52=0,H52=FALSE),"-",H52))</f>
        <v>Nouvelle piste créée pour équipe Ventes. 04/05/26 - Théo Salerno : RDV en cours de programmation. Pas d'autres actions ou retours prospect à ce stade. Prochaine étape : fixer le RDV. Aucun retour sur fonds présentés ni avis prospect pour l'instant.</v>
      </c>
      <c r="J52" s="6">
</c>
      <c r="K52" s="6" t="s">
        <v>74</v>
      </c>
      <c r="L52" s="6" cm="1" t="str">
        <f t="array" ref="L52">IF(C52="","",IF(K52="Mort / Plus rien à faire","KO","OK"))</f>
        <v>OK</v>
      </c>
      <c r="M52" s="13">
        <v>46146.437430555554</v>
      </c>
      <c r="N52" s="13" cm="1" t="n">
        <f t="array" ref="N52">IF(OR(C52="",M52="",M52=0),"",M52)</f>
        <v>46146.437430555554</v>
      </c>
      <c r="O52" s="13">
        <v>46167.416666666664</v>
      </c>
      <c r="P52" s="13" cm="1" t="n">
        <f t="array" ref="P52">IF(C52="","",IF(OR(O52="",O52=0),"-",O52))</f>
        <v>46167.416666666664</v>
      </c>
      <c r="Q52" s="14">
        <v>0</v>
      </c>
      <c r="R52" s="6" cm="1" t="str">
        <f t="array" ref="R52">IF(C52="","",ROUND(Q52/1000000,3)&amp;" M€")</f>
        <v>0 M€</v>
      </c>
      <c r="S52" s="15">
        <v>10</v>
      </c>
      <c r="T52" s="6" cm="1" t="str">
        <f t="array" ref="T52">IF(C52="","",SUBSTITUTE(S52,"","")&amp;"%")</f>
        <v>10%</v>
      </c>
      <c r="U52" s="12" cm="1" t="str">
        <f t="array" ref="U52">IF(($N52="")*($P52=""),"",IF(($N52&lt;&gt;"")*($N52&gt;TODAY()-9)*($N52&lt;TODAY()+1)*($P52&lt;&gt;"")*($P52&gt;=TODAY())*($P52&lt;=TODAY()+13),"Semaine passée &amp; à venir",IF(($N52&lt;&gt;"")*($N52&gt;TODAY()-9)*($N52&lt;TODAY()+1),"Semaine passée",IF(($P52&lt;&gt;"")*($P52&gt;=TODAY())*($P52&lt;=TODAY()+13),"À venir","Autre"))))</f>
        <v>Semaine passée</v>
      </c>
      <c r="V52" s="5" cm="1" t="n">
        <f t="array" ref="V52">IF(C52&lt;&gt;"",1,0)</f>
        <v>1</v>
      </c>
      <c r="W52" s="5">
</c>
      <c r="X52" s="5">
</c>
      <c r="Y52" s="5">
</c>
      <c r="Z52" s="5">
</c>
      <c r="AA52" s="5">
</c>
      <c r="AB52" s="5">
</c>
      <c r="AC52" s="5">
</c>
      <c r="AD52" s="5">
</c>
      <c r="AE52" s="5">
</c>
      <c r="AF52" s="5">
</c>
      <c r="AG52" s="5">
</c>
      <c r="AH52" s="5">
</c>
      <c r="AI52" s="5">
</c>
      <c r="AJ52" s="5">
</c>
      <c r="AK52" s="5">
</c>
    </row>
    <row r="53" ht="65.25" customHeight="1">
      <c r="A53" s="6" t="s">
        <v>23</v>
      </c>
      <c r="B53" s="6" t="s">
        <v>125</v>
      </c>
      <c r="C53" s="11" t="s">
        <v>189</v>
      </c>
      <c r="D53" s="11" t="s">
        <v>190</v>
      </c>
      <c r="E53" s="6" t="s">
        <v>56</v>
      </c>
      <c r="F53" s="6" t="s">
        <v>191</v>
      </c>
      <c r="G53" s="6" cm="1" t="str">
        <f t="array" ref="G53">IF(F53="","",SUBSTITUTE(SUBSTITUTE(SUBSTITUTE(SUBSTITUTE(F53,"&lt;li&gt;",CHAR(10)),"&lt;/li&gt;",""),"&lt;br&gt;",CHAR(10)),"&lt;strong&gt;",""))</f>
        <v>&lt;p&gt;Florian Demars quitte Linxea, Pierre Guerin reprend le PE. Politique actuelle : pas de nouveaux fonds référencés, collecte faible sur le PE, passage en précomité plutôt KO. Sébastien transmet infos, relance possible Pierre Guerin. Pas de projet de référencement 2026. Suivi à maintenir, prochaine étape : tenir informé d'ici 01/10/2026.&lt;/p&gt;</v>
      </c>
      <c r="H53" s="6" cm="1" t="str">
        <f t="array" ref="H53">IF(G53="","",SUBSTITUTE(SUBSTITUTE(SUBSTITUTE(SUBSTITUTE(SUBSTITUTE(G53,"&lt;p&gt;",""),"&lt;/p&gt;",""),"&lt;ul&gt;",""),"&lt;/ul&gt;",""),"&lt;/strong&gt;",""))</f>
        <v>Florian Demars quitte Linxea, Pierre Guerin reprend le PE. Politique actuelle : pas de nouveaux fonds référencés, collecte faible sur le PE, passage en précomité plutôt KO. Sébastien transmet infos, relance possible Pierre Guerin. Pas de projet de référencement 2026. Suivi à maintenir, prochaine étape : tenir informé d'ici 01/10/2026.</v>
      </c>
      <c r="I53" s="12" cm="1" t="str">
        <f t="array" ref="I53">IF(C53="","",IF(OR(H53="",H53=0,H53=FALSE),"-",H53))</f>
        <v>Florian Demars quitte Linxea, Pierre Guerin reprend le PE. Politique actuelle : pas de nouveaux fonds référencés, collecte faible sur le PE, passage en précomité plutôt KO. Sébastien transmet infos, relance possible Pierre Guerin. Pas de projet de référencement 2026. Suivi à maintenir, prochaine étape : tenir informé d'ici 01/10/2026.</v>
      </c>
      <c r="J53" s="6" t="s">
        <v>192</v>
      </c>
      <c r="K53" s="6" t="s">
        <v>74</v>
      </c>
      <c r="L53" s="6" cm="1" t="str">
        <f t="array" ref="L53">IF(C53="","",IF(K53="Mort / Plus rien à faire","KO","OK"))</f>
        <v>OK</v>
      </c>
      <c r="M53" s="13">
        <v>46135.75040509259</v>
      </c>
      <c r="N53" s="13" cm="1" t="n">
        <f t="array" ref="N53">IF(OR(C53="",M53="",M53=0),"",M53)</f>
        <v>46135.75040509259</v>
      </c>
      <c r="O53" s="13">
        <v>46296.083333333336</v>
      </c>
      <c r="P53" s="13" cm="1" t="n">
        <f t="array" ref="P53">IF(C53="","",IF(OR(O53="",O53=0),"-",O53))</f>
        <v>46296.083333333336</v>
      </c>
      <c r="Q53" s="14">
        <v>0</v>
      </c>
      <c r="R53" s="6" cm="1" t="str">
        <f t="array" ref="R53">IF(C53="","",ROUND(Q53/1000000,3)&amp;" M€")</f>
        <v>0 M€</v>
      </c>
      <c r="S53" s="15">
        <v>10</v>
      </c>
      <c r="T53" s="6" cm="1" t="str">
        <f t="array" ref="T53">IF(C53="","",SUBSTITUTE(S53,"","")&amp;"%")</f>
        <v>10%</v>
      </c>
      <c r="U53" s="12" cm="1" t="str">
        <f t="array" ref="U53">IF(($N53="")*($P53=""),"",IF(($N53&lt;&gt;"")*($N53&gt;TODAY()-9)*($N53&lt;TODAY()+1)*($P53&lt;&gt;"")*($P53&gt;=TODAY())*($P53&lt;=TODAY()+13),"Semaine passée &amp; à venir",IF(($N53&lt;&gt;"")*($N53&gt;TODAY()-9)*($N53&lt;TODAY()+1),"Semaine passée",IF(($P53&lt;&gt;"")*($P53&gt;=TODAY())*($P53&lt;=TODAY()+13),"À venir","Autre"))))</f>
        <v>Autre</v>
      </c>
      <c r="V53" s="5" cm="1" t="n">
        <f t="array" ref="V53">IF(C53&lt;&gt;"",1,0)</f>
        <v>1</v>
      </c>
      <c r="W53" s="5">
</c>
      <c r="X53" s="5">
</c>
      <c r="Y53" s="5">
</c>
      <c r="Z53" s="5">
</c>
      <c r="AA53" s="5">
</c>
      <c r="AB53" s="5">
</c>
      <c r="AC53" s="5">
</c>
      <c r="AD53" s="5">
</c>
      <c r="AE53" s="5">
</c>
      <c r="AF53" s="5">
</c>
      <c r="AG53" s="5">
</c>
      <c r="AH53" s="5">
</c>
      <c r="AI53" s="5">
</c>
      <c r="AJ53" s="5">
</c>
      <c r="AK53" s="5">
</c>
    </row>
    <row r="54" ht="65.25" customHeight="1">
      <c r="A54" s="6" t="s">
        <v>23</v>
      </c>
      <c r="B54" s="6" t="s">
        <v>160</v>
      </c>
      <c r="C54" s="11" t="s">
        <v>193</v>
      </c>
      <c r="D54" s="11" t="s">
        <v>194</v>
      </c>
      <c r="E54" s="6" t="s">
        <v>56</v>
      </c>
      <c r="F54" s="6" t="s">
        <v>195</v>
      </c>
      <c r="G54" s="6" cm="1" t="str">
        <f t="array" ref="G54">IF(F54="","",SUBSTITUTE(SUBSTITUTE(SUBSTITUTE(SUBSTITUTE(F54,"&lt;li&gt;",CHAR(10)),"&lt;/li&gt;",""),"&lt;br&gt;",CHAR(10)),"&lt;strong&gt;",""))</f>
        <v>&lt;p&gt;Contact initial NextGen, échange positif Romain/Pierre. Présentation offre retail AUDACIA (FCPI, co-investissement start-up tech, newspace, décarbonation, santé/biotech, fiscalité IR 27%). Offre club deal immobilier senior (Lyon, Le Vésinet). Prochaine étape&amp;nbsp;: fixer rdv pour approfondir. Pas d'autres actions.&lt;/p&gt;</v>
      </c>
      <c r="H54" s="6" cm="1" t="str">
        <f t="array" ref="H54">IF(G54="","",SUBSTITUTE(SUBSTITUTE(SUBSTITUTE(SUBSTITUTE(SUBSTITUTE(G54,"&lt;p&gt;",""),"&lt;/p&gt;",""),"&lt;ul&gt;",""),"&lt;/ul&gt;",""),"&lt;/strong&gt;",""))</f>
        <v>Contact initial NextGen, échange positif Romain/Pierre. Présentation offre retail AUDACIA (FCPI, co-investissement start-up tech, newspace, décarbonation, santé/biotech, fiscalité IR 27%). Offre club deal immobilier senior (Lyon, Le Vésinet). Prochaine étape&amp;nbsp;: fixer rdv pour approfondir. Pas d'autres actions.</v>
      </c>
      <c r="I54" s="12" cm="1" t="str">
        <f t="array" ref="I54">IF(C54="","",IF(OR(H54="",H54=0,H54=FALSE),"-",H54))</f>
        <v>Contact initial NextGen, échange positif Romain/Pierre. Présentation offre retail AUDACIA (FCPI, co-investissement start-up tech, newspace, décarbonation, santé/biotech, fiscalité IR 27%). Offre club deal immobilier senior (Lyon, Le Vésinet). Prochaine étape&amp;nbsp;: fixer rdv pour approfondir. Pas d'autres actions.</v>
      </c>
      <c r="J54" s="6">
</c>
      <c r="K54" s="6" t="s">
        <v>74</v>
      </c>
      <c r="L54" s="6" cm="1" t="str">
        <f t="array" ref="L54">IF(C54="","",IF(K54="Mort / Plus rien à faire","KO","OK"))</f>
        <v>OK</v>
      </c>
      <c r="M54" s="13">
        <v>46129.46673611111</v>
      </c>
      <c r="N54" s="13" cm="1" t="n">
        <f t="array" ref="N54">IF(OR(C54="",M54="",M54=0),"",M54)</f>
        <v>46129.46673611111</v>
      </c>
      <c r="O54" s="13">
</c>
      <c r="P54" s="13" cm="1" t="str">
        <f t="array" ref="P54">IF(C54="","",IF(OR(O54="",O54=0),"-",O54))</f>
        <v>-</v>
      </c>
      <c r="Q54" s="14">
        <v>0</v>
      </c>
      <c r="R54" s="6" cm="1" t="str">
        <f t="array" ref="R54">IF(C54="","",ROUND(Q54/1000000,3)&amp;" M€")</f>
        <v>0 M€</v>
      </c>
      <c r="S54" s="15">
        <v>10</v>
      </c>
      <c r="T54" s="6" cm="1" t="str">
        <f t="array" ref="T54">IF(C54="","",SUBSTITUTE(S54,"","")&amp;"%")</f>
        <v>10%</v>
      </c>
      <c r="U54" s="12" cm="1" t="str">
        <f t="array" ref="U54">IF(($N54="")*($P54=""),"",IF(($N54&lt;&gt;"")*($N54&gt;TODAY()-9)*($N54&lt;TODAY()+1)*($P54&lt;&gt;"")*($P54&gt;=TODAY())*($P54&lt;=TODAY()+13),"Semaine passée &amp; à venir",IF(($N54&lt;&gt;"")*($N54&gt;TODAY()-9)*($N54&lt;TODAY()+1),"Semaine passée",IF(($P54&lt;&gt;"")*($P54&gt;=TODAY())*($P54&lt;=TODAY()+13),"À venir","Autre"))))</f>
        <v>Autre</v>
      </c>
      <c r="V54" s="5" cm="1" t="n">
        <f t="array" ref="V54">IF(C54&lt;&gt;"",1,0)</f>
        <v>1</v>
      </c>
      <c r="W54" s="5">
</c>
      <c r="X54" s="5">
</c>
      <c r="Y54" s="5">
</c>
      <c r="Z54" s="5">
</c>
      <c r="AA54" s="5">
</c>
      <c r="AB54" s="5">
</c>
      <c r="AC54" s="5">
</c>
      <c r="AD54" s="5">
</c>
      <c r="AE54" s="5">
</c>
      <c r="AF54" s="5">
</c>
      <c r="AG54" s="5">
</c>
      <c r="AH54" s="5">
</c>
      <c r="AI54" s="5">
</c>
      <c r="AJ54" s="5">
</c>
      <c r="AK54" s="5">
</c>
    </row>
    <row r="55" ht="65.25" customHeight="1">
      <c r="A55" s="6" t="s">
        <v>23</v>
      </c>
      <c r="B55" s="6">
</c>
      <c r="C55" s="11" t="s">
        <v>196</v>
      </c>
      <c r="D55" s="11" t="s">
        <v>197</v>
      </c>
      <c r="E55" s="6" t="s">
        <v>44</v>
      </c>
      <c r="F55" s="6" t="s">
        <v>198</v>
      </c>
      <c r="G55" s="6" cm="1" t="str">
        <f t="array" ref="G55">IF(F55="","",SUBSTITUTE(SUBSTITUTE(SUBSTITUTE(SUBSTITUTE(F55,"&lt;li&gt;",CHAR(10)),"&lt;/li&gt;",""),"&lt;br&gt;",CHAR(10)),"&lt;strong&gt;",""))</f>
        <v>&lt;p&gt;Nouvelle piste créée pour équipe Ventes. Tentative d'enrichissement impossible (email invalide). Déjà pitché (pas cette personne), à recontacter par LG. Pas d'autres actions ou retours prospect. Prochaines étapes : prise de contact à planifier par LG.&lt;/p&gt;</v>
      </c>
      <c r="H55" s="6" cm="1" t="str">
        <f t="array" ref="H55">IF(G55="","",SUBSTITUTE(SUBSTITUTE(SUBSTITUTE(SUBSTITUTE(SUBSTITUTE(G55,"&lt;p&gt;",""),"&lt;/p&gt;",""),"&lt;ul&gt;",""),"&lt;/ul&gt;",""),"&lt;/strong&gt;",""))</f>
        <v>Nouvelle piste créée pour équipe Ventes. Tentative d'enrichissement impossible (email invalide). Déjà pitché (pas cette personne), à recontacter par LG. Pas d'autres actions ou retours prospect. Prochaines étapes : prise de contact à planifier par LG.</v>
      </c>
      <c r="I55" s="12" cm="1" t="str">
        <f t="array" ref="I55">IF(C55="","",IF(OR(H55="",H55=0,H55=FALSE),"-",H55))</f>
        <v>Nouvelle piste créée pour équipe Ventes. Tentative d'enrichissement impossible (email invalide). Déjà pitché (pas cette personne), à recontacter par LG. Pas d'autres actions ou retours prospect. Prochaines étapes : prise de contact à planifier par LG.</v>
      </c>
      <c r="J55" s="6">
</c>
      <c r="K55" s="6" t="s">
        <v>74</v>
      </c>
      <c r="L55" s="6" cm="1" t="str">
        <f t="array" ref="L55">IF(C55="","",IF(K55="Mort / Plus rien à faire","KO","OK"))</f>
        <v>OK</v>
      </c>
      <c r="M55" s="13">
        <v>46139.63353009259</v>
      </c>
      <c r="N55" s="13" cm="1" t="n">
        <f t="array" ref="N55">IF(OR(C55="",M55="",M55=0),"",M55)</f>
        <v>46139.63353009259</v>
      </c>
      <c r="O55" s="13">
</c>
      <c r="P55" s="13" cm="1" t="str">
        <f t="array" ref="P55">IF(C55="","",IF(OR(O55="",O55=0),"-",O55))</f>
        <v>-</v>
      </c>
      <c r="Q55" s="14">
        <v>0</v>
      </c>
      <c r="R55" s="6" cm="1" t="str">
        <f t="array" ref="R55">IF(C55="","",ROUND(Q55/1000000,3)&amp;" M€")</f>
        <v>0 M€</v>
      </c>
      <c r="S55" s="15">
        <v>10</v>
      </c>
      <c r="T55" s="6" cm="1" t="str">
        <f t="array" ref="T55">IF(C55="","",SUBSTITUTE(S55,"","")&amp;"%")</f>
        <v>10%</v>
      </c>
      <c r="U55" s="12" cm="1" t="str">
        <f t="array" ref="U55">IF(($N55="")*($P55=""),"",IF(($N55&lt;&gt;"")*($N55&gt;TODAY()-9)*($N55&lt;TODAY()+1)*($P55&lt;&gt;"")*($P55&gt;=TODAY())*($P55&lt;=TODAY()+13),"Semaine passée &amp; à venir",IF(($N55&lt;&gt;"")*($N55&gt;TODAY()-9)*($N55&lt;TODAY()+1),"Semaine passée",IF(($P55&lt;&gt;"")*($P55&gt;=TODAY())*($P55&lt;=TODAY()+13),"À venir","Autre"))))</f>
        <v>Semaine passée</v>
      </c>
      <c r="V55" s="5" cm="1" t="n">
        <f t="array" ref="V55">IF(C55&lt;&gt;"",1,0)</f>
        <v>1</v>
      </c>
      <c r="W55" s="5">
</c>
      <c r="X55" s="5">
</c>
      <c r="Y55" s="5">
</c>
      <c r="Z55" s="5">
</c>
      <c r="AA55" s="5">
</c>
      <c r="AB55" s="5">
</c>
      <c r="AC55" s="5">
</c>
      <c r="AD55" s="5">
</c>
      <c r="AE55" s="5">
</c>
      <c r="AF55" s="5">
</c>
      <c r="AG55" s="5">
</c>
      <c r="AH55" s="5">
</c>
      <c r="AI55" s="5">
</c>
      <c r="AJ55" s="5">
</c>
      <c r="AK55" s="5">
</c>
    </row>
    <row r="56" ht="65.25" customHeight="1">
      <c r="A56" s="6" t="s">
        <v>23</v>
      </c>
      <c r="B56" s="6" t="s">
        <v>106</v>
      </c>
      <c r="C56" s="11" t="s">
        <v>199</v>
      </c>
      <c r="D56" s="11" t="s">
        <v>200</v>
      </c>
      <c r="E56" s="6" t="s">
        <v>35</v>
      </c>
      <c r="F56" s="6" t="s">
        <v>201</v>
      </c>
      <c r="G56" s="6" cm="1" t="str">
        <f t="array" ref="G56">IF(F56="","",SUBSTITUTE(SUBSTITUTE(SUBSTITUTE(SUBSTITUTE(F56,"&lt;li&gt;",CHAR(10)),"&lt;/li&gt;",""),"&lt;br&gt;",CHAR(10)),"&lt;strong&gt;",""))</f>
        <v>&lt;p&gt;Relance mail envoyée le 13/03 pour prise de RDV présentation Audacia et gérant FCPI. Nouvelle piste créée pour équipe Ventes. Pas d'autres échanges, appels ou retours mentionnés. Prochaine étape : attendre retour pour fixer RDV. Aucun retour prospect sur fonds à ce stade.&lt;/p&gt;</v>
      </c>
      <c r="H56" s="6" cm="1" t="str">
        <f t="array" ref="H56">IF(G56="","",SUBSTITUTE(SUBSTITUTE(SUBSTITUTE(SUBSTITUTE(SUBSTITUTE(G56,"&lt;p&gt;",""),"&lt;/p&gt;",""),"&lt;ul&gt;",""),"&lt;/ul&gt;",""),"&lt;/strong&gt;",""))</f>
        <v>Relance mail envoyée le 13/03 pour prise de RDV présentation Audacia et gérant FCPI. Nouvelle piste créée pour équipe Ventes. Pas d'autres échanges, appels ou retours mentionnés. Prochaine étape : attendre retour pour fixer RDV. Aucun retour prospect sur fonds à ce stade.</v>
      </c>
      <c r="I56" s="12" cm="1" t="str">
        <f t="array" ref="I56">IF(C56="","",IF(OR(H56="",H56=0,H56=FALSE),"-",H56))</f>
        <v>Relance mail envoyée le 13/03 pour prise de RDV présentation Audacia et gérant FCPI. Nouvelle piste créée pour équipe Ventes. Pas d'autres échanges, appels ou retours mentionnés. Prochaine étape : attendre retour pour fixer RDV. Aucun retour prospect sur fonds à ce stade.</v>
      </c>
      <c r="J56" s="6">
</c>
      <c r="K56" s="6" t="s">
        <v>46</v>
      </c>
      <c r="L56" s="6" cm="1" t="str">
        <f t="array" ref="L56">IF(C56="","",IF(K56="Mort / Plus rien à faire","KO","OK"))</f>
        <v>OK</v>
      </c>
      <c r="M56" s="13">
        <v>46094.76453703704</v>
      </c>
      <c r="N56" s="13" cm="1" t="n">
        <f t="array" ref="N56">IF(OR(C56="",M56="",M56=0),"",M56)</f>
        <v>46094.76453703704</v>
      </c>
      <c r="O56" s="13">
</c>
      <c r="P56" s="13" cm="1" t="str">
        <f t="array" ref="P56">IF(C56="","",IF(OR(O56="",O56=0),"-",O56))</f>
        <v>-</v>
      </c>
      <c r="Q56" s="14">
        <v>0</v>
      </c>
      <c r="R56" s="6" cm="1" t="str">
        <f t="array" ref="R56">IF(C56="","",ROUND(Q56/1000000,3)&amp;" M€")</f>
        <v>0 M€</v>
      </c>
      <c r="S56" s="15">
        <v>10</v>
      </c>
      <c r="T56" s="6" cm="1" t="str">
        <f t="array" ref="T56">IF(C56="","",SUBSTITUTE(S56,"","")&amp;"%")</f>
        <v>10%</v>
      </c>
      <c r="U56" s="12" cm="1" t="str">
        <f t="array" ref="U56">IF(($N56="")*($P56=""),"",IF(($N56&lt;&gt;"")*($N56&gt;TODAY()-9)*($N56&lt;TODAY()+1)*($P56&lt;&gt;"")*($P56&gt;=TODAY())*($P56&lt;=TODAY()+13),"Semaine passée &amp; à venir",IF(($N56&lt;&gt;"")*($N56&gt;TODAY()-9)*($N56&lt;TODAY()+1),"Semaine passée",IF(($P56&lt;&gt;"")*($P56&gt;=TODAY())*($P56&lt;=TODAY()+13),"À venir","Autre"))))</f>
        <v>Autre</v>
      </c>
      <c r="V56" s="5" cm="1" t="n">
        <f t="array" ref="V56">IF(C56&lt;&gt;"",1,0)</f>
        <v>1</v>
      </c>
      <c r="W56" s="5">
</c>
      <c r="X56" s="5">
</c>
      <c r="Y56" s="5">
</c>
      <c r="Z56" s="5">
</c>
      <c r="AA56" s="5">
</c>
      <c r="AB56" s="5">
</c>
      <c r="AC56" s="5">
</c>
      <c r="AD56" s="5">
</c>
      <c r="AE56" s="5">
</c>
      <c r="AF56" s="5">
</c>
      <c r="AG56" s="5">
</c>
      <c r="AH56" s="5">
</c>
      <c r="AI56" s="5">
</c>
      <c r="AJ56" s="5">
</c>
      <c r="AK56" s="5">
</c>
    </row>
    <row r="57" ht="65.25" customHeight="1">
      <c r="A57" s="6" t="s">
        <v>23</v>
      </c>
      <c r="B57" s="6" t="s">
        <v>24</v>
      </c>
      <c r="C57" s="11" t="s">
        <v>202</v>
      </c>
      <c r="D57" s="11" t="s">
        <v>203</v>
      </c>
      <c r="E57" s="6" t="s">
        <v>35</v>
      </c>
      <c r="F57" s="6" t="s">
        <v>204</v>
      </c>
      <c r="G57" s="6" cm="1" t="str">
        <f t="array" ref="G57">IF(F57="","",SUBSTITUTE(SUBSTITUTE(SUBSTITUTE(SUBSTITUTE(F57,"&lt;li&gt;",CHAR(10)),"&lt;/li&gt;",""),"&lt;br&gt;",CHAR(10)),"&lt;strong&gt;",""))</f>
        <v>&lt;p&gt;Call 12/03 avec Corinne Vigouroux, présentation offre FCPi avec Gérant. Mail envoyé pour proposer dates de suivi en avril. Pas de retour prospect sur l'offre pour l'instant, attente de réponse pour fixer prochain RDV. Aucune autre activité ou retour mentionné à ce stade.&lt;/p&gt;</v>
      </c>
      <c r="H57" s="6" cm="1" t="str">
        <f t="array" ref="H57">IF(G57="","",SUBSTITUTE(SUBSTITUTE(SUBSTITUTE(SUBSTITUTE(SUBSTITUTE(G57,"&lt;p&gt;",""),"&lt;/p&gt;",""),"&lt;ul&gt;",""),"&lt;/ul&gt;",""),"&lt;/strong&gt;",""))</f>
        <v>Call 12/03 avec Corinne Vigouroux, présentation offre FCPi avec Gérant. Mail envoyé pour proposer dates de suivi en avril. Pas de retour prospect sur l'offre pour l'instant, attente de réponse pour fixer prochain RDV. Aucune autre activité ou retour mentionné à ce stade.</v>
      </c>
      <c r="I57" s="12" cm="1" t="str">
        <f t="array" ref="I57">IF(C57="","",IF(OR(H57="",H57=0,H57=FALSE),"-",H57))</f>
        <v>Call 12/03 avec Corinne Vigouroux, présentation offre FCPi avec Gérant. Mail envoyé pour proposer dates de suivi en avril. Pas de retour prospect sur l'offre pour l'instant, attente de réponse pour fixer prochain RDV. Aucune autre activité ou retour mentionné à ce stade.</v>
      </c>
      <c r="J57" s="6" t="s">
        <v>205</v>
      </c>
      <c r="K57" s="6" t="s">
        <v>46</v>
      </c>
      <c r="L57" s="6" cm="1" t="str">
        <f t="array" ref="L57">IF(C57="","",IF(K57="Mort / Plus rien à faire","KO","OK"))</f>
        <v>OK</v>
      </c>
      <c r="M57" s="13">
        <v>46094.75641203704</v>
      </c>
      <c r="N57" s="13" cm="1" t="n">
        <f t="array" ref="N57">IF(OR(C57="",M57="",M57=0),"",M57)</f>
        <v>46094.75641203704</v>
      </c>
      <c r="O57" s="13">
</c>
      <c r="P57" s="13" cm="1" t="str">
        <f t="array" ref="P57">IF(C57="","",IF(OR(O57="",O57=0),"-",O57))</f>
        <v>-</v>
      </c>
      <c r="Q57" s="14">
        <v>0</v>
      </c>
      <c r="R57" s="6" cm="1" t="str">
        <f t="array" ref="R57">IF(C57="","",ROUND(Q57/1000000,3)&amp;" M€")</f>
        <v>0 M€</v>
      </c>
      <c r="S57" s="15">
        <v>10</v>
      </c>
      <c r="T57" s="6" cm="1" t="str">
        <f t="array" ref="T57">IF(C57="","",SUBSTITUTE(S57,"","")&amp;"%")</f>
        <v>10%</v>
      </c>
      <c r="U57" s="12" cm="1" t="str">
        <f t="array" ref="U57">IF(($N57="")*($P57=""),"",IF(($N57&lt;&gt;"")*($N57&gt;TODAY()-9)*($N57&lt;TODAY()+1)*($P57&lt;&gt;"")*($P57&gt;=TODAY())*($P57&lt;=TODAY()+13),"Semaine passée &amp; à venir",IF(($N57&lt;&gt;"")*($N57&gt;TODAY()-9)*($N57&lt;TODAY()+1),"Semaine passée",IF(($P57&lt;&gt;"")*($P57&gt;=TODAY())*($P57&lt;=TODAY()+13),"À venir","Autre"))))</f>
        <v>Autre</v>
      </c>
      <c r="V57" s="5" cm="1" t="n">
        <f t="array" ref="V57">IF(C57&lt;&gt;"",1,0)</f>
        <v>1</v>
      </c>
      <c r="W57" s="5">
</c>
      <c r="X57" s="5">
</c>
      <c r="Y57" s="5">
</c>
      <c r="Z57" s="5">
</c>
      <c r="AA57" s="5">
</c>
      <c r="AB57" s="5">
</c>
      <c r="AC57" s="5">
</c>
      <c r="AD57" s="5">
</c>
      <c r="AE57" s="5">
</c>
      <c r="AF57" s="5">
</c>
      <c r="AG57" s="5">
</c>
      <c r="AH57" s="5">
</c>
      <c r="AI57" s="5">
</c>
      <c r="AJ57" s="5">
</c>
      <c r="AK57" s="5">
</c>
    </row>
    <row r="58" ht="65.25" customHeight="1">
      <c r="A58" s="6" t="s">
        <v>23</v>
      </c>
      <c r="B58" s="6" t="s">
        <v>69</v>
      </c>
      <c r="C58" s="11" t="s">
        <v>206</v>
      </c>
      <c r="D58" s="11" t="s">
        <v>207</v>
      </c>
      <c r="E58" s="6" t="s">
        <v>44</v>
      </c>
      <c r="F58" s="6" t="s">
        <v>208</v>
      </c>
      <c r="G58" s="6" cm="1" t="str">
        <f t="array" ref="G58">IF(F58="","",SUBSTITUTE(SUBSTITUTE(SUBSTITUTE(SUBSTITUTE(F58,"&lt;li&gt;",CHAR(10)),"&lt;/li&gt;",""),"&lt;br&gt;",CHAR(10)),"&lt;strong&gt;",""))</f>
        <v>&lt;p&gt;Nouvelle piste créée équipe Ventes. Enrichissement lead impossible (email invalide). Déjà pitché à contacter par LG, mais pas la bonne personne. Aucune activité complémentaire, pas de retour prospect, pas d'action planifiée. Prochaine étape&amp;nbsp;: identifier bon contact et relancer.&lt;/p&gt;</v>
      </c>
      <c r="H58" s="6" cm="1" t="str">
        <f t="array" ref="H58">IF(G58="","",SUBSTITUTE(SUBSTITUTE(SUBSTITUTE(SUBSTITUTE(SUBSTITUTE(G58,"&lt;p&gt;",""),"&lt;/p&gt;",""),"&lt;ul&gt;",""),"&lt;/ul&gt;",""),"&lt;/strong&gt;",""))</f>
        <v>Nouvelle piste créée équipe Ventes. Enrichissement lead impossible (email invalide). Déjà pitché à contacter par LG, mais pas la bonne personne. Aucune activité complémentaire, pas de retour prospect, pas d'action planifiée. Prochaine étape&amp;nbsp;: identifier bon contact et relancer.</v>
      </c>
      <c r="I58" s="12" cm="1" t="str">
        <f t="array" ref="I58">IF(C58="","",IF(OR(H58="",H58=0,H58=FALSE),"-",H58))</f>
        <v>Nouvelle piste créée équipe Ventes. Enrichissement lead impossible (email invalide). Déjà pitché à contacter par LG, mais pas la bonne personne. Aucune activité complémentaire, pas de retour prospect, pas d'action planifiée. Prochaine étape&amp;nbsp;: identifier bon contact et relancer.</v>
      </c>
      <c r="J58" s="6">
</c>
      <c r="K58" s="6" t="s">
        <v>74</v>
      </c>
      <c r="L58" s="6" cm="1" t="str">
        <f t="array" ref="L58">IF(C58="","",IF(K58="Mort / Plus rien à faire","KO","OK"))</f>
        <v>OK</v>
      </c>
      <c r="M58" s="13">
        <v>46139.63295138889</v>
      </c>
      <c r="N58" s="13" cm="1" t="n">
        <f t="array" ref="N58">IF(OR(C58="",M58="",M58=0),"",M58)</f>
        <v>46139.63295138889</v>
      </c>
      <c r="O58" s="13">
</c>
      <c r="P58" s="13" cm="1" t="str">
        <f t="array" ref="P58">IF(C58="","",IF(OR(O58="",O58=0),"-",O58))</f>
        <v>-</v>
      </c>
      <c r="Q58" s="14">
        <v>0</v>
      </c>
      <c r="R58" s="6" cm="1" t="str">
        <f t="array" ref="R58">IF(C58="","",ROUND(Q58/1000000,3)&amp;" M€")</f>
        <v>0 M€</v>
      </c>
      <c r="S58" s="15">
        <v>10</v>
      </c>
      <c r="T58" s="6" cm="1" t="str">
        <f t="array" ref="T58">IF(C58="","",SUBSTITUTE(S58,"","")&amp;"%")</f>
        <v>10%</v>
      </c>
      <c r="U58" s="12" cm="1" t="str">
        <f t="array" ref="U58">IF(($N58="")*($P58=""),"",IF(($N58&lt;&gt;"")*($N58&gt;TODAY()-9)*($N58&lt;TODAY()+1)*($P58&lt;&gt;"")*($P58&gt;=TODAY())*($P58&lt;=TODAY()+13),"Semaine passée &amp; à venir",IF(($N58&lt;&gt;"")*($N58&gt;TODAY()-9)*($N58&lt;TODAY()+1),"Semaine passée",IF(($P58&lt;&gt;"")*($P58&gt;=TODAY())*($P58&lt;=TODAY()+13),"À venir","Autre"))))</f>
        <v>Semaine passée</v>
      </c>
      <c r="V58" s="5" cm="1" t="n">
        <f t="array" ref="V58">IF(C58&lt;&gt;"",1,0)</f>
        <v>1</v>
      </c>
      <c r="W58" s="5">
</c>
      <c r="X58" s="5">
</c>
      <c r="Y58" s="5">
</c>
      <c r="Z58" s="5">
</c>
      <c r="AA58" s="5">
</c>
      <c r="AB58" s="5">
</c>
      <c r="AC58" s="5">
</c>
      <c r="AD58" s="5">
</c>
      <c r="AE58" s="5">
</c>
      <c r="AF58" s="5">
</c>
      <c r="AG58" s="5">
</c>
      <c r="AH58" s="5">
</c>
      <c r="AI58" s="5">
</c>
      <c r="AJ58" s="5">
</c>
      <c r="AK58" s="5">
</c>
    </row>
    <row r="59" ht="65.25" customHeight="1">
      <c r="A59" s="6" t="s">
        <v>23</v>
      </c>
      <c r="B59" s="6" t="s">
        <v>69</v>
      </c>
      <c r="C59" s="11" t="s">
        <v>209</v>
      </c>
      <c r="D59" s="11" t="s">
        <v>210</v>
      </c>
      <c r="E59" s="6" t="s">
        <v>56</v>
      </c>
      <c r="F59" s="6" t="s">
        <v>211</v>
      </c>
      <c r="G59" s="6" cm="1" t="str">
        <f t="array" ref="G59">IF(F59="","",SUBSTITUTE(SUBSTITUTE(SUBSTITUTE(SUBSTITUTE(F59,"&lt;li&gt;",CHAR(10)),"&lt;/li&gt;",""),"&lt;br&gt;",CHAR(10)),"&lt;strong&gt;",""))</f>
        <v>&lt;p&gt;26 mars : réponse BPCE sur référencement 150 0 B ter, action CJ en cours. Suivi par Romain Andrieu. Prochaine étape : pousser référencement 150 0 Bter Capdev et travailler offre Transgénérationnelle. Pas d'autres retours ou conclusions prospect mentionnés.&lt;/p&gt;</v>
      </c>
      <c r="H59" s="6" cm="1" t="str">
        <f t="array" ref="H59">IF(G59="","",SUBSTITUTE(SUBSTITUTE(SUBSTITUTE(SUBSTITUTE(SUBSTITUTE(G59,"&lt;p&gt;",""),"&lt;/p&gt;",""),"&lt;ul&gt;",""),"&lt;/ul&gt;",""),"&lt;/strong&gt;",""))</f>
        <v>26 mars : réponse BPCE sur référencement 150 0 B ter, action CJ en cours. Suivi par Romain Andrieu. Prochaine étape : pousser référencement 150 0 Bter Capdev et travailler offre Transgénérationnelle. Pas d'autres retours ou conclusions prospect mentionnés.</v>
      </c>
      <c r="I59" s="12" cm="1" t="str">
        <f t="array" ref="I59">IF(C59="","",IF(OR(H59="",H59=0,H59=FALSE),"-",H59))</f>
        <v>26 mars : réponse BPCE sur référencement 150 0 B ter, action CJ en cours. Suivi par Romain Andrieu. Prochaine étape : pousser référencement 150 0 Bter Capdev et travailler offre Transgénérationnelle. Pas d'autres retours ou conclusions prospect mentionnés.</v>
      </c>
      <c r="J59" s="6" t="s">
        <v>212</v>
      </c>
      <c r="K59" s="6" t="s">
        <v>74</v>
      </c>
      <c r="L59" s="6" cm="1" t="str">
        <f t="array" ref="L59">IF(C59="","",IF(K59="Mort / Plus rien à faire","KO","OK"))</f>
        <v>OK</v>
      </c>
      <c r="M59" s="13">
        <v>46129.76818287037</v>
      </c>
      <c r="N59" s="13" cm="1" t="n">
        <f t="array" ref="N59">IF(OR(C59="",M59="",M59=0),"",M59)</f>
        <v>46129.76818287037</v>
      </c>
      <c r="O59" s="13">
        <v>46206.083333333336</v>
      </c>
      <c r="P59" s="13" cm="1" t="n">
        <f t="array" ref="P59">IF(C59="","",IF(OR(O59="",O59=0),"-",O59))</f>
        <v>46206.083333333336</v>
      </c>
      <c r="Q59" s="14">
        <v>0</v>
      </c>
      <c r="R59" s="6" cm="1" t="str">
        <f t="array" ref="R59">IF(C59="","",ROUND(Q59/1000000,3)&amp;" M€")</f>
        <v>0 M€</v>
      </c>
      <c r="S59" s="15">
        <v>10</v>
      </c>
      <c r="T59" s="6" cm="1" t="str">
        <f t="array" ref="T59">IF(C59="","",SUBSTITUTE(S59,"","")&amp;"%")</f>
        <v>10%</v>
      </c>
      <c r="U59" s="12" cm="1" t="str">
        <f t="array" ref="U59">IF(($N59="")*($P59=""),"",IF(($N59&lt;&gt;"")*($N59&gt;TODAY()-9)*($N59&lt;TODAY()+1)*($P59&lt;&gt;"")*($P59&gt;=TODAY())*($P59&lt;=TODAY()+13),"Semaine passée &amp; à venir",IF(($N59&lt;&gt;"")*($N59&gt;TODAY()-9)*($N59&lt;TODAY()+1),"Semaine passée",IF(($P59&lt;&gt;"")*($P59&gt;=TODAY())*($P59&lt;=TODAY()+13),"À venir","Autre"))))</f>
        <v>Autre</v>
      </c>
      <c r="V59" s="5" cm="1" t="n">
        <f t="array" ref="V59">IF(C59&lt;&gt;"",1,0)</f>
        <v>1</v>
      </c>
      <c r="W59" s="5">
</c>
      <c r="X59" s="5">
</c>
      <c r="Y59" s="5">
</c>
      <c r="Z59" s="5">
</c>
      <c r="AA59" s="5">
</c>
      <c r="AB59" s="5">
</c>
      <c r="AC59" s="5">
</c>
      <c r="AD59" s="5">
</c>
      <c r="AE59" s="5">
</c>
      <c r="AF59" s="5">
</c>
      <c r="AG59" s="5">
</c>
      <c r="AH59" s="5">
</c>
      <c r="AI59" s="5">
</c>
      <c r="AJ59" s="5">
</c>
      <c r="AK59" s="5">
</c>
    </row>
    <row r="60" ht="65.25" customHeight="1">
      <c r="A60" s="6" t="s">
        <v>23</v>
      </c>
      <c r="B60" s="6">
</c>
      <c r="C60" s="11" t="s">
        <v>213</v>
      </c>
      <c r="D60" s="11" t="s">
        <v>214</v>
      </c>
      <c r="E60" s="6" t="s">
        <v>44</v>
      </c>
      <c r="F60" s="6" t="s">
        <v>215</v>
      </c>
      <c r="G60" s="6" cm="1" t="str">
        <f t="array" ref="G60">IF(F60="","",SUBSTITUTE(SUBSTITUTE(SUBSTITUTE(SUBSTITUTE(F60,"&lt;li&gt;",CHAR(10)),"&lt;/li&gt;",""),"&lt;br&gt;",CHAR(10)),"&lt;strong&gt;",""))</f>
        <v>&lt;p&gt;Piste créée pour équipe Ventes. Enrichissement lead impossible (email invalide). Déjà pitché par LG lors de ses responsabilités à la Banque du Louvres, à recontacter par LG. Aucune activité ou échange supplémentaire enregistré, prochaine étape&amp;nbsp;: prise de contact par LG.&lt;/p&gt;</v>
      </c>
      <c r="H60" s="6" cm="1" t="str">
        <f t="array" ref="H60">IF(G60="","",SUBSTITUTE(SUBSTITUTE(SUBSTITUTE(SUBSTITUTE(SUBSTITUTE(G60,"&lt;p&gt;",""),"&lt;/p&gt;",""),"&lt;ul&gt;",""),"&lt;/ul&gt;",""),"&lt;/strong&gt;",""))</f>
        <v>Piste créée pour équipe Ventes. Enrichissement lead impossible (email invalide). Déjà pitché par LG lors de ses responsabilités à la Banque du Louvres, à recontacter par LG. Aucune activité ou échange supplémentaire enregistré, prochaine étape&amp;nbsp;: prise de contact par LG.</v>
      </c>
      <c r="I60" s="12" cm="1" t="str">
        <f t="array" ref="I60">IF(C60="","",IF(OR(H60="",H60=0,H60=FALSE),"-",H60))</f>
        <v>Piste créée pour équipe Ventes. Enrichissement lead impossible (email invalide). Déjà pitché par LG lors de ses responsabilités à la Banque du Louvres, à recontacter par LG. Aucune activité ou échange supplémentaire enregistré, prochaine étape&amp;nbsp;: prise de contact par LG.</v>
      </c>
      <c r="J60" s="6">
</c>
      <c r="K60" s="6" t="s">
        <v>74</v>
      </c>
      <c r="L60" s="6" cm="1" t="str">
        <f t="array" ref="L60">IF(C60="","",IF(K60="Mort / Plus rien à faire","KO","OK"))</f>
        <v>OK</v>
      </c>
      <c r="M60" s="13">
        <v>46139.6333912037</v>
      </c>
      <c r="N60" s="13" cm="1" t="n">
        <f t="array" ref="N60">IF(OR(C60="",M60="",M60=0),"",M60)</f>
        <v>46139.6333912037</v>
      </c>
      <c r="O60" s="13">
</c>
      <c r="P60" s="13" cm="1" t="str">
        <f t="array" ref="P60">IF(C60="","",IF(OR(O60="",O60=0),"-",O60))</f>
        <v>-</v>
      </c>
      <c r="Q60" s="14">
        <v>0</v>
      </c>
      <c r="R60" s="6" cm="1" t="str">
        <f t="array" ref="R60">IF(C60="","",ROUND(Q60/1000000,3)&amp;" M€")</f>
        <v>0 M€</v>
      </c>
      <c r="S60" s="15">
        <v>10</v>
      </c>
      <c r="T60" s="6" cm="1" t="str">
        <f t="array" ref="T60">IF(C60="","",SUBSTITUTE(S60,"","")&amp;"%")</f>
        <v>10%</v>
      </c>
      <c r="U60" s="12" cm="1" t="str">
        <f t="array" ref="U60">IF(($N60="")*($P60=""),"",IF(($N60&lt;&gt;"")*($N60&gt;TODAY()-9)*($N60&lt;TODAY()+1)*($P60&lt;&gt;"")*($P60&gt;=TODAY())*($P60&lt;=TODAY()+13),"Semaine passée &amp; à venir",IF(($N60&lt;&gt;"")*($N60&gt;TODAY()-9)*($N60&lt;TODAY()+1),"Semaine passée",IF(($P60&lt;&gt;"")*($P60&gt;=TODAY())*($P60&lt;=TODAY()+13),"À venir","Autre"))))</f>
        <v>Semaine passée</v>
      </c>
      <c r="V60" s="5" cm="1" t="n">
        <f t="array" ref="V60">IF(C60&lt;&gt;"",1,0)</f>
        <v>1</v>
      </c>
      <c r="W60" s="5">
</c>
      <c r="X60" s="5">
</c>
      <c r="Y60" s="5">
</c>
      <c r="Z60" s="5">
</c>
      <c r="AA60" s="5">
</c>
      <c r="AB60" s="5">
</c>
      <c r="AC60" s="5">
</c>
      <c r="AD60" s="5">
</c>
      <c r="AE60" s="5">
</c>
      <c r="AF60" s="5">
</c>
      <c r="AG60" s="5">
</c>
      <c r="AH60" s="5">
</c>
      <c r="AI60" s="5">
</c>
      <c r="AJ60" s="5">
</c>
      <c r="AK60" s="5">
</c>
    </row>
    <row r="61" ht="65.25" customHeight="1">
      <c r="A61" s="6" t="s">
        <v>23</v>
      </c>
      <c r="B61" s="6" t="s">
        <v>106</v>
      </c>
      <c r="C61" s="11" t="s">
        <v>216</v>
      </c>
      <c r="D61" s="11" t="s">
        <v>217</v>
      </c>
      <c r="E61" s="6" t="s">
        <v>44</v>
      </c>
      <c r="F61" s="6" t="s">
        <v>218</v>
      </c>
      <c r="G61" s="6" cm="1" t="str">
        <f t="array" ref="G61">IF(F61="","",SUBSTITUTE(SUBSTITUTE(SUBSTITUTE(SUBSTITUTE(F61,"&lt;li&gt;",CHAR(10)),"&lt;/li&gt;",""),"&lt;br&gt;",CHAR(10)),"&lt;strong&gt;",""))</f>
        <v>&lt;p&gt;Nouvelle piste créée équipe Ventes. Enrichissement lead impossible, email invalide. Contact à prévoir par LG, déjà pitché mais pas à cette personne. Pas de retour prospect ni d'activité supplémentaire. Prochaine étape&amp;nbsp;: prise de contact par LG.&lt;/p&gt;</v>
      </c>
      <c r="H61" s="6" cm="1" t="str">
        <f t="array" ref="H61">IF(G61="","",SUBSTITUTE(SUBSTITUTE(SUBSTITUTE(SUBSTITUTE(SUBSTITUTE(G61,"&lt;p&gt;",""),"&lt;/p&gt;",""),"&lt;ul&gt;",""),"&lt;/ul&gt;",""),"&lt;/strong&gt;",""))</f>
        <v>Nouvelle piste créée équipe Ventes. Enrichissement lead impossible, email invalide. Contact à prévoir par LG, déjà pitché mais pas à cette personne. Pas de retour prospect ni d'activité supplémentaire. Prochaine étape&amp;nbsp;: prise de contact par LG.</v>
      </c>
      <c r="I61" s="12" cm="1" t="str">
        <f t="array" ref="I61">IF(C61="","",IF(OR(H61="",H61=0,H61=FALSE),"-",H61))</f>
        <v>Nouvelle piste créée équipe Ventes. Enrichissement lead impossible, email invalide. Contact à prévoir par LG, déjà pitché mais pas à cette personne. Pas de retour prospect ni d'activité supplémentaire. Prochaine étape&amp;nbsp;: prise de contact par LG.</v>
      </c>
      <c r="J61" s="6">
</c>
      <c r="K61" s="6" t="s">
        <v>74</v>
      </c>
      <c r="L61" s="6" cm="1" t="str">
        <f t="array" ref="L61">IF(C61="","",IF(K61="Mort / Plus rien à faire","KO","OK"))</f>
        <v>OK</v>
      </c>
      <c r="M61" s="13">
        <v>46139.63311342592</v>
      </c>
      <c r="N61" s="13" cm="1" t="n">
        <f t="array" ref="N61">IF(OR(C61="",M61="",M61=0),"",M61)</f>
        <v>46139.63311342592</v>
      </c>
      <c r="O61" s="13">
</c>
      <c r="P61" s="13" cm="1" t="str">
        <f t="array" ref="P61">IF(C61="","",IF(OR(O61="",O61=0),"-",O61))</f>
        <v>-</v>
      </c>
      <c r="Q61" s="14">
        <v>0</v>
      </c>
      <c r="R61" s="6" cm="1" t="str">
        <f t="array" ref="R61">IF(C61="","",ROUND(Q61/1000000,3)&amp;" M€")</f>
        <v>0 M€</v>
      </c>
      <c r="S61" s="15">
        <v>10</v>
      </c>
      <c r="T61" s="6" cm="1" t="str">
        <f t="array" ref="T61">IF(C61="","",SUBSTITUTE(S61,"","")&amp;"%")</f>
        <v>10%</v>
      </c>
      <c r="U61" s="12" cm="1" t="str">
        <f t="array" ref="U61">IF(($N61="")*($P61=""),"",IF(($N61&lt;&gt;"")*($N61&gt;TODAY()-9)*($N61&lt;TODAY()+1)*($P61&lt;&gt;"")*($P61&gt;=TODAY())*($P61&lt;=TODAY()+13),"Semaine passée &amp; à venir",IF(($N61&lt;&gt;"")*($N61&gt;TODAY()-9)*($N61&lt;TODAY()+1),"Semaine passée",IF(($P61&lt;&gt;"")*($P61&gt;=TODAY())*($P61&lt;=TODAY()+13),"À venir","Autre"))))</f>
        <v>Semaine passée</v>
      </c>
      <c r="V61" s="5" cm="1" t="n">
        <f t="array" ref="V61">IF(C61&lt;&gt;"",1,0)</f>
        <v>1</v>
      </c>
      <c r="W61" s="5">
</c>
      <c r="X61" s="5">
</c>
      <c r="Y61" s="5">
</c>
      <c r="Z61" s="5">
</c>
      <c r="AA61" s="5">
</c>
      <c r="AB61" s="5">
</c>
      <c r="AC61" s="5">
</c>
      <c r="AD61" s="5">
</c>
      <c r="AE61" s="5">
</c>
      <c r="AF61" s="5">
</c>
      <c r="AG61" s="5">
</c>
      <c r="AH61" s="5">
</c>
      <c r="AI61" s="5">
</c>
      <c r="AJ61" s="5">
</c>
      <c r="AK61" s="5">
</c>
    </row>
    <row r="62" ht="65.25" customHeight="1">
      <c r="A62" s="6" t="s">
        <v>23</v>
      </c>
      <c r="B62" s="6" t="s">
        <v>106</v>
      </c>
      <c r="C62" s="11" t="s">
        <v>219</v>
      </c>
      <c r="D62" s="11" t="s">
        <v>220</v>
      </c>
      <c r="E62" s="6" t="s">
        <v>44</v>
      </c>
      <c r="F62" s="6" t="s">
        <v>221</v>
      </c>
      <c r="G62" s="6" cm="1" t="str">
        <f t="array" ref="G62">IF(F62="","",SUBSTITUTE(SUBSTITUTE(SUBSTITUTE(SUBSTITUTE(F62,"&lt;li&gt;",CHAR(10)),"&lt;/li&gt;",""),"&lt;br&gt;",CHAR(10)),"&lt;strong&gt;",""))</f>
        <v>&lt;p&gt;Nouvelle piste créée équipe Ventes. Tentative d'enrichissement échouée (email invalide). À contacter par LG, déjà pitché mais pas à cette personne. Prochaine étape : prise de contact ciblée par LG. Aucune conclusion prospect ni retour sur fonds présentés à ce stade.&lt;/p&gt;</v>
      </c>
      <c r="H62" s="6" cm="1" t="str">
        <f t="array" ref="H62">IF(G62="","",SUBSTITUTE(SUBSTITUTE(SUBSTITUTE(SUBSTITUTE(SUBSTITUTE(G62,"&lt;p&gt;",""),"&lt;/p&gt;",""),"&lt;ul&gt;",""),"&lt;/ul&gt;",""),"&lt;/strong&gt;",""))</f>
        <v>Nouvelle piste créée équipe Ventes. Tentative d'enrichissement échouée (email invalide). À contacter par LG, déjà pitché mais pas à cette personne. Prochaine étape : prise de contact ciblée par LG. Aucune conclusion prospect ni retour sur fonds présentés à ce stade.</v>
      </c>
      <c r="I62" s="12" cm="1" t="str">
        <f t="array" ref="I62">IF(C62="","",IF(OR(H62="",H62=0,H62=FALSE),"-",H62))</f>
        <v>Nouvelle piste créée équipe Ventes. Tentative d'enrichissement échouée (email invalide). À contacter par LG, déjà pitché mais pas à cette personne. Prochaine étape : prise de contact ciblée par LG. Aucune conclusion prospect ni retour sur fonds présentés à ce stade.</v>
      </c>
      <c r="J62" s="6">
</c>
      <c r="K62" s="6" t="s">
        <v>74</v>
      </c>
      <c r="L62" s="6" cm="1" t="str">
        <f t="array" ref="L62">IF(C62="","",IF(K62="Mort / Plus rien à faire","KO","OK"))</f>
        <v>OK</v>
      </c>
      <c r="M62" s="13">
        <v>46139.632569444446</v>
      </c>
      <c r="N62" s="13" cm="1" t="n">
        <f t="array" ref="N62">IF(OR(C62="",M62="",M62=0),"",M62)</f>
        <v>46139.632569444446</v>
      </c>
      <c r="O62" s="13">
</c>
      <c r="P62" s="13" cm="1" t="str">
        <f t="array" ref="P62">IF(C62="","",IF(OR(O62="",O62=0),"-",O62))</f>
        <v>-</v>
      </c>
      <c r="Q62" s="14">
        <v>0</v>
      </c>
      <c r="R62" s="6" cm="1" t="str">
        <f t="array" ref="R62">IF(C62="","",ROUND(Q62/1000000,3)&amp;" M€")</f>
        <v>0 M€</v>
      </c>
      <c r="S62" s="15">
        <v>10</v>
      </c>
      <c r="T62" s="6" cm="1" t="str">
        <f t="array" ref="T62">IF(C62="","",SUBSTITUTE(S62,"","")&amp;"%")</f>
        <v>10%</v>
      </c>
      <c r="U62" s="12" cm="1" t="str">
        <f t="array" ref="U62">IF(($N62="")*($P62=""),"",IF(($N62&lt;&gt;"")*($N62&gt;TODAY()-9)*($N62&lt;TODAY()+1)*($P62&lt;&gt;"")*($P62&gt;=TODAY())*($P62&lt;=TODAY()+13),"Semaine passée &amp; à venir",IF(($N62&lt;&gt;"")*($N62&gt;TODAY()-9)*($N62&lt;TODAY()+1),"Semaine passée",IF(($P62&lt;&gt;"")*($P62&gt;=TODAY())*($P62&lt;=TODAY()+13),"À venir","Autre"))))</f>
        <v>Semaine passée</v>
      </c>
      <c r="V62" s="5" cm="1" t="n">
        <f t="array" ref="V62">IF(C62&lt;&gt;"",1,0)</f>
        <v>1</v>
      </c>
      <c r="W62" s="5">
</c>
      <c r="X62" s="5">
</c>
      <c r="Y62" s="5">
</c>
      <c r="Z62" s="5">
</c>
      <c r="AA62" s="5">
</c>
      <c r="AB62" s="5">
</c>
      <c r="AC62" s="5">
</c>
      <c r="AD62" s="5">
</c>
      <c r="AE62" s="5">
</c>
      <c r="AF62" s="5">
</c>
      <c r="AG62" s="5">
</c>
      <c r="AH62" s="5">
</c>
      <c r="AI62" s="5">
</c>
      <c r="AJ62" s="5">
</c>
      <c r="AK62" s="5">
</c>
    </row>
    <row r="63" ht="65.25" customHeight="1">
      <c r="A63" s="6" t="s">
        <v>23</v>
      </c>
      <c r="B63" s="6">
</c>
      <c r="C63" s="11" t="s">
        <v>222</v>
      </c>
      <c r="D63" s="11" t="s">
        <v>223</v>
      </c>
      <c r="E63" s="6" t="s">
        <v>44</v>
      </c>
      <c r="F63" s="6" t="s">
        <v>224</v>
      </c>
      <c r="G63" s="6" cm="1" t="str">
        <f t="array" ref="G63">IF(F63="","",SUBSTITUTE(SUBSTITUTE(SUBSTITUTE(SUBSTITUTE(F63,"&lt;li&gt;",CHAR(10)),"&lt;/li&gt;",""),"&lt;br&gt;",CHAR(10)),"&lt;strong&gt;",""))</f>
        <v>&lt;p&gt;Nouvelle piste créée équipe Ventes. Tentative d'enrichissement échouée (email invalide). Déjà pitché par LG mais pas à ce niveau, à recontacter. Aucune activité complémentaire ni retour prospect sur fonds. Prochaine étape : prise de contact par LG.&lt;/p&gt;</v>
      </c>
      <c r="H63" s="6" cm="1" t="str">
        <f t="array" ref="H63">IF(G63="","",SUBSTITUTE(SUBSTITUTE(SUBSTITUTE(SUBSTITUTE(SUBSTITUTE(G63,"&lt;p&gt;",""),"&lt;/p&gt;",""),"&lt;ul&gt;",""),"&lt;/ul&gt;",""),"&lt;/strong&gt;",""))</f>
        <v>Nouvelle piste créée équipe Ventes. Tentative d'enrichissement échouée (email invalide). Déjà pitché par LG mais pas à ce niveau, à recontacter. Aucune activité complémentaire ni retour prospect sur fonds. Prochaine étape : prise de contact par LG.</v>
      </c>
      <c r="I63" s="12" cm="1" t="str">
        <f t="array" ref="I63">IF(C63="","",IF(OR(H63="",H63=0,H63=FALSE),"-",H63))</f>
        <v>Nouvelle piste créée équipe Ventes. Tentative d'enrichissement échouée (email invalide). Déjà pitché par LG mais pas à ce niveau, à recontacter. Aucune activité complémentaire ni retour prospect sur fonds. Prochaine étape : prise de contact par LG.</v>
      </c>
      <c r="J63" s="6">
</c>
      <c r="K63" s="6" t="s">
        <v>74</v>
      </c>
      <c r="L63" s="6" cm="1" t="str">
        <f t="array" ref="L63">IF(C63="","",IF(K63="Mort / Plus rien à faire","KO","OK"))</f>
        <v>OK</v>
      </c>
      <c r="M63" s="13">
        <v>46139.63217592592</v>
      </c>
      <c r="N63" s="13" cm="1" t="n">
        <f t="array" ref="N63">IF(OR(C63="",M63="",M63=0),"",M63)</f>
        <v>46139.63217592592</v>
      </c>
      <c r="O63" s="13">
</c>
      <c r="P63" s="13" cm="1" t="str">
        <f t="array" ref="P63">IF(C63="","",IF(OR(O63="",O63=0),"-",O63))</f>
        <v>-</v>
      </c>
      <c r="Q63" s="14">
        <v>0</v>
      </c>
      <c r="R63" s="6" cm="1" t="str">
        <f t="array" ref="R63">IF(C63="","",ROUND(Q63/1000000,3)&amp;" M€")</f>
        <v>0 M€</v>
      </c>
      <c r="S63" s="15">
        <v>10</v>
      </c>
      <c r="T63" s="6" cm="1" t="str">
        <f t="array" ref="T63">IF(C63="","",SUBSTITUTE(S63,"","")&amp;"%")</f>
        <v>10%</v>
      </c>
      <c r="U63" s="12" cm="1" t="str">
        <f t="array" ref="U63">IF(($N63="")*($P63=""),"",IF(($N63&lt;&gt;"")*($N63&gt;TODAY()-9)*($N63&lt;TODAY()+1)*($P63&lt;&gt;"")*($P63&gt;=TODAY())*($P63&lt;=TODAY()+13),"Semaine passée &amp; à venir",IF(($N63&lt;&gt;"")*($N63&gt;TODAY()-9)*($N63&lt;TODAY()+1),"Semaine passée",IF(($P63&lt;&gt;"")*($P63&gt;=TODAY())*($P63&lt;=TODAY()+13),"À venir","Autre"))))</f>
        <v>Semaine passée</v>
      </c>
      <c r="V63" s="5" cm="1" t="n">
        <f t="array" ref="V63">IF(C63&lt;&gt;"",1,0)</f>
        <v>1</v>
      </c>
      <c r="W63" s="5">
</c>
      <c r="X63" s="5">
</c>
      <c r="Y63" s="5">
</c>
      <c r="Z63" s="5">
</c>
      <c r="AA63" s="5">
</c>
      <c r="AB63" s="5">
</c>
      <c r="AC63" s="5">
</c>
      <c r="AD63" s="5">
</c>
      <c r="AE63" s="5">
</c>
      <c r="AF63" s="5">
</c>
      <c r="AG63" s="5">
</c>
      <c r="AH63" s="5">
</c>
      <c r="AI63" s="5">
</c>
      <c r="AJ63" s="5">
</c>
      <c r="AK63" s="5">
</c>
    </row>
    <row r="64" ht="65.25" customHeight="1">
      <c r="A64" s="6" t="s">
        <v>23</v>
      </c>
      <c r="B64" s="6" t="s">
        <v>24</v>
      </c>
      <c r="C64" s="11" t="s">
        <v>225</v>
      </c>
      <c r="D64" s="11" t="s">
        <v>226</v>
      </c>
      <c r="E64" s="6" t="s">
        <v>27</v>
      </c>
      <c r="F64" s="6" t="s">
        <v>227</v>
      </c>
      <c r="G64" s="6" cm="1" t="str">
        <f t="array" ref="G64">IF(F64="","",SUBSTITUTE(SUBSTITUTE(SUBSTITUTE(SUBSTITUTE(F64,"&lt;li&gt;",CHAR(10)),"&lt;/li&gt;",""),"&lt;br&gt;",CHAR(10)),"&lt;strong&gt;",""))</f>
        <v>&lt;p&gt;Cold call FCPI 25/02, prospect travaille surtout avec LBO France, peu d'intérêt clients pour FCPI. Présentation envoyée, relance mail 19/03, proposition RDV. Prospect répond mais FCPI pas prioritaire actuellement. Pas d'activité récente ni prochaine étape planifiée.&lt;/p&gt;</v>
      </c>
      <c r="H64" s="6" cm="1" t="str">
        <f t="array" ref="H64">IF(G64="","",SUBSTITUTE(SUBSTITUTE(SUBSTITUTE(SUBSTITUTE(SUBSTITUTE(G64,"&lt;p&gt;",""),"&lt;/p&gt;",""),"&lt;ul&gt;",""),"&lt;/ul&gt;",""),"&lt;/strong&gt;",""))</f>
        <v>Cold call FCPI 25/02, prospect travaille surtout avec LBO France, peu d'intérêt clients pour FCPI. Présentation envoyée, relance mail 19/03, proposition RDV. Prospect répond mais FCPI pas prioritaire actuellement. Pas d'activité récente ni prochaine étape planifiée.</v>
      </c>
      <c r="I64" s="12" cm="1" t="str">
        <f t="array" ref="I64">IF(C64="","",IF(OR(H64="",H64=0,H64=FALSE),"-",H64))</f>
        <v>Cold call FCPI 25/02, prospect travaille surtout avec LBO France, peu d'intérêt clients pour FCPI. Présentation envoyée, relance mail 19/03, proposition RDV. Prospect répond mais FCPI pas prioritaire actuellement. Pas d'activité récente ni prochaine étape planifiée.</v>
      </c>
      <c r="J64" s="6" t="s">
        <v>228</v>
      </c>
      <c r="K64" s="6" t="s">
        <v>74</v>
      </c>
      <c r="L64" s="6" cm="1" t="str">
        <f t="array" ref="L64">IF(C64="","",IF(K64="Mort / Plus rien à faire","KO","OK"))</f>
        <v>OK</v>
      </c>
      <c r="M64" s="13">
        <v>46133.626493055555</v>
      </c>
      <c r="N64" s="13" cm="1" t="n">
        <f t="array" ref="N64">IF(OR(C64="",M64="",M64=0),"",M64)</f>
        <v>46133.626493055555</v>
      </c>
      <c r="O64" s="13">
        <v>46196.625</v>
      </c>
      <c r="P64" s="13" cm="1" t="n">
        <f t="array" ref="P64">IF(C64="","",IF(OR(O64="",O64=0),"-",O64))</f>
        <v>46196.625</v>
      </c>
      <c r="Q64" s="14">
        <v>0</v>
      </c>
      <c r="R64" s="6" cm="1" t="str">
        <f t="array" ref="R64">IF(C64="","",ROUND(Q64/1000000,3)&amp;" M€")</f>
        <v>0 M€</v>
      </c>
      <c r="S64" s="15">
        <v>10</v>
      </c>
      <c r="T64" s="6" cm="1" t="str">
        <f t="array" ref="T64">IF(C64="","",SUBSTITUTE(S64,"","")&amp;"%")</f>
        <v>10%</v>
      </c>
      <c r="U64" s="12" cm="1" t="str">
        <f t="array" ref="U64">IF(($N64="")*($P64=""),"",IF(($N64&lt;&gt;"")*($N64&gt;TODAY()-9)*($N64&lt;TODAY()+1)*($P64&lt;&gt;"")*($P64&gt;=TODAY())*($P64&lt;=TODAY()+13),"Semaine passée &amp; à venir",IF(($N64&lt;&gt;"")*($N64&gt;TODAY()-9)*($N64&lt;TODAY()+1),"Semaine passée",IF(($P64&lt;&gt;"")*($P64&gt;=TODAY())*($P64&lt;=TODAY()+13),"À venir","Autre"))))</f>
        <v>Autre</v>
      </c>
      <c r="V64" s="5" cm="1" t="n">
        <f t="array" ref="V64">IF(C64&lt;&gt;"",1,0)</f>
        <v>1</v>
      </c>
      <c r="W64" s="5">
</c>
      <c r="X64" s="5">
</c>
      <c r="Y64" s="5">
</c>
      <c r="Z64" s="5">
</c>
      <c r="AA64" s="5">
</c>
      <c r="AB64" s="5">
</c>
      <c r="AC64" s="5">
</c>
      <c r="AD64" s="5">
</c>
      <c r="AE64" s="5">
</c>
      <c r="AF64" s="5">
</c>
      <c r="AG64" s="5">
</c>
      <c r="AH64" s="5">
</c>
      <c r="AI64" s="5">
</c>
      <c r="AJ64" s="5">
</c>
      <c r="AK64" s="5">
</c>
    </row>
    <row r="65" ht="65.25" customHeight="1">
      <c r="A65" s="6" t="s">
        <v>23</v>
      </c>
      <c r="B65" s="6" t="s">
        <v>106</v>
      </c>
      <c r="C65" s="11" t="s">
        <v>229</v>
      </c>
      <c r="D65" s="11" t="s">
        <v>230</v>
      </c>
      <c r="E65" s="6" t="s">
        <v>35</v>
      </c>
      <c r="F65" s="6" t="s">
        <v>231</v>
      </c>
      <c r="G65" s="6" cm="1" t="str">
        <f t="array" ref="G65">IF(F65="","",SUBSTITUTE(SUBSTITUTE(SUBSTITUTE(SUBSTITUTE(F65,"&lt;li&gt;",CHAR(10)),"&lt;/li&gt;",""),"&lt;br&gt;",CHAR(10)),"&lt;strong&gt;",""))</f>
        <v>&lt;p&gt;05/02/2026: Intérêt manifesté pour solutions de diversification, peu de dossiers de remploi, prise de contact à planifier avec Charles. Lead créé pour équipe Ventes. Enrichissement lead impossible (email invalide). Aucune activité ou action future planifiée à ce jour.&lt;/p&gt;</v>
      </c>
      <c r="H65" s="6" cm="1" t="str">
        <f t="array" ref="H65">IF(G65="","",SUBSTITUTE(SUBSTITUTE(SUBSTITUTE(SUBSTITUTE(SUBSTITUTE(G65,"&lt;p&gt;",""),"&lt;/p&gt;",""),"&lt;ul&gt;",""),"&lt;/ul&gt;",""),"&lt;/strong&gt;",""))</f>
        <v>05/02/2026: Intérêt manifesté pour solutions de diversification, peu de dossiers de remploi, prise de contact à planifier avec Charles. Lead créé pour équipe Ventes. Enrichissement lead impossible (email invalide). Aucune activité ou action future planifiée à ce jour.</v>
      </c>
      <c r="I65" s="12" cm="1" t="str">
        <f t="array" ref="I65">IF(C65="","",IF(OR(H65="",H65=0,H65=FALSE),"-",H65))</f>
        <v>05/02/2026: Intérêt manifesté pour solutions de diversification, peu de dossiers de remploi, prise de contact à planifier avec Charles. Lead créé pour équipe Ventes. Enrichissement lead impossible (email invalide). Aucune activité ou action future planifiée à ce jour.</v>
      </c>
      <c r="J65" s="6">
</c>
      <c r="K65" s="6" t="s">
        <v>46</v>
      </c>
      <c r="L65" s="6" cm="1" t="str">
        <f t="array" ref="L65">IF(C65="","",IF(K65="Mort / Plus rien à faire","KO","OK"))</f>
        <v>OK</v>
      </c>
      <c r="M65" s="13">
        <v>46094.75241898148</v>
      </c>
      <c r="N65" s="13" cm="1" t="n">
        <f t="array" ref="N65">IF(OR(C65="",M65="",M65=0),"",M65)</f>
        <v>46094.75241898148</v>
      </c>
      <c r="O65" s="13">
</c>
      <c r="P65" s="13" cm="1" t="str">
        <f t="array" ref="P65">IF(C65="","",IF(OR(O65="",O65=0),"-",O65))</f>
        <v>-</v>
      </c>
      <c r="Q65" s="14">
        <v>0</v>
      </c>
      <c r="R65" s="6" cm="1" t="str">
        <f t="array" ref="R65">IF(C65="","",ROUND(Q65/1000000,3)&amp;" M€")</f>
        <v>0 M€</v>
      </c>
      <c r="S65" s="15">
        <v>10</v>
      </c>
      <c r="T65" s="6" cm="1" t="str">
        <f t="array" ref="T65">IF(C65="","",SUBSTITUTE(S65,"","")&amp;"%")</f>
        <v>10%</v>
      </c>
      <c r="U65" s="12" cm="1" t="str">
        <f t="array" ref="U65">IF(($N65="")*($P65=""),"",IF(($N65&lt;&gt;"")*($N65&gt;TODAY()-9)*($N65&lt;TODAY()+1)*($P65&lt;&gt;"")*($P65&gt;=TODAY())*($P65&lt;=TODAY()+13),"Semaine passée &amp; à venir",IF(($N65&lt;&gt;"")*($N65&gt;TODAY()-9)*($N65&lt;TODAY()+1),"Semaine passée",IF(($P65&lt;&gt;"")*($P65&gt;=TODAY())*($P65&lt;=TODAY()+13),"À venir","Autre"))))</f>
        <v>Autre</v>
      </c>
      <c r="V65" s="5" cm="1" t="n">
        <f t="array" ref="V65">IF(C65&lt;&gt;"",1,0)</f>
        <v>1</v>
      </c>
      <c r="W65" s="5">
</c>
      <c r="X65" s="5">
</c>
      <c r="Y65" s="5">
</c>
      <c r="Z65" s="5">
</c>
      <c r="AA65" s="5">
</c>
      <c r="AB65" s="5">
</c>
      <c r="AC65" s="5">
</c>
      <c r="AD65" s="5">
</c>
      <c r="AE65" s="5">
</c>
      <c r="AF65" s="5">
</c>
      <c r="AG65" s="5">
</c>
      <c r="AH65" s="5">
</c>
      <c r="AI65" s="5">
</c>
      <c r="AJ65" s="5">
</c>
      <c r="AK65" s="5">
</c>
    </row>
    <row r="66" ht="65.25" customHeight="1">
      <c r="A66" s="6" t="s">
        <v>23</v>
      </c>
      <c r="B66" s="6" t="s">
        <v>106</v>
      </c>
      <c r="C66" s="11" t="s">
        <v>232</v>
      </c>
      <c r="D66" s="11" t="s">
        <v>233</v>
      </c>
      <c r="E66" s="6" t="s">
        <v>56</v>
      </c>
      <c r="F66" s="6" t="s">
        <v>234</v>
      </c>
      <c r="G66" s="6" cm="1" t="str">
        <f t="array" ref="G66">IF(F66="","",SUBSTITUTE(SUBSTITUTE(SUBSTITUTE(SUBSTITUTE(F66,"&lt;li&gt;",CHAR(10)),"&lt;/li&gt;",""),"&lt;br&gt;",CHAR(10)),"&lt;strong&gt;",""))</f>
        <v>&lt;p&gt;Relance effectuée par Odp le 17 avril. Nouvelle piste créée pour l'équipe Ventes. Aucune activité ou action complémentaire enregistrée depuis la création. Pas de retour ou d'échange supplémentaire identifié. Prochaines étapes non planifiées à ce jour.&lt;/p&gt;</v>
      </c>
      <c r="H66" s="6" cm="1" t="str">
        <f t="array" ref="H66">IF(G66="","",SUBSTITUTE(SUBSTITUTE(SUBSTITUTE(SUBSTITUTE(SUBSTITUTE(G66,"&lt;p&gt;",""),"&lt;/p&gt;",""),"&lt;ul&gt;",""),"&lt;/ul&gt;",""),"&lt;/strong&gt;",""))</f>
        <v>Relance effectuée par Odp le 17 avril. Nouvelle piste créée pour l'équipe Ventes. Aucune activité ou action complémentaire enregistrée depuis la création. Pas de retour ou d'échange supplémentaire identifié. Prochaines étapes non planifiées à ce jour.</v>
      </c>
      <c r="I66" s="12" cm="1" t="str">
        <f t="array" ref="I66">IF(C66="","",IF(OR(H66="",H66=0,H66=FALSE),"-",H66))</f>
        <v>Relance effectuée par Odp le 17 avril. Nouvelle piste créée pour l'équipe Ventes. Aucune activité ou action complémentaire enregistrée depuis la création. Pas de retour ou d'échange supplémentaire identifié. Prochaines étapes non planifiées à ce jour.</v>
      </c>
      <c r="J66" s="6">
</c>
      <c r="K66" s="6" t="s">
        <v>74</v>
      </c>
      <c r="L66" s="6" cm="1" t="str">
        <f t="array" ref="L66">IF(C66="","",IF(K66="Mort / Plus rien à faire","KO","OK"))</f>
        <v>OK</v>
      </c>
      <c r="M66" s="13">
        <v>46132.747245370374</v>
      </c>
      <c r="N66" s="13" cm="1" t="n">
        <f t="array" ref="N66">IF(OR(C66="",M66="",M66=0),"",M66)</f>
        <v>46132.747245370374</v>
      </c>
      <c r="O66" s="13">
</c>
      <c r="P66" s="13" cm="1" t="str">
        <f t="array" ref="P66">IF(C66="","",IF(OR(O66="",O66=0),"-",O66))</f>
        <v>-</v>
      </c>
      <c r="Q66" s="14">
        <v>0</v>
      </c>
      <c r="R66" s="6" cm="1" t="str">
        <f t="array" ref="R66">IF(C66="","",ROUND(Q66/1000000,3)&amp;" M€")</f>
        <v>0 M€</v>
      </c>
      <c r="S66" s="15">
        <v>10</v>
      </c>
      <c r="T66" s="6" cm="1" t="str">
        <f t="array" ref="T66">IF(C66="","",SUBSTITUTE(S66,"","")&amp;"%")</f>
        <v>10%</v>
      </c>
      <c r="U66" s="12" cm="1" t="str">
        <f t="array" ref="U66">IF(($N66="")*($P66=""),"",IF(($N66&lt;&gt;"")*($N66&gt;TODAY()-9)*($N66&lt;TODAY()+1)*($P66&lt;&gt;"")*($P66&gt;=TODAY())*($P66&lt;=TODAY()+13),"Semaine passée &amp; à venir",IF(($N66&lt;&gt;"")*($N66&gt;TODAY()-9)*($N66&lt;TODAY()+1),"Semaine passée",IF(($P66&lt;&gt;"")*($P66&gt;=TODAY())*($P66&lt;=TODAY()+13),"À venir","Autre"))))</f>
        <v>Autre</v>
      </c>
      <c r="V66" s="5" cm="1" t="n">
        <f t="array" ref="V66">IF(C66&lt;&gt;"",1,0)</f>
        <v>1</v>
      </c>
      <c r="W66" s="5">
</c>
      <c r="X66" s="5">
</c>
      <c r="Y66" s="5">
</c>
      <c r="Z66" s="5">
</c>
      <c r="AA66" s="5">
</c>
      <c r="AB66" s="5">
</c>
      <c r="AC66" s="5">
</c>
      <c r="AD66" s="5">
</c>
      <c r="AE66" s="5">
</c>
      <c r="AF66" s="5">
</c>
      <c r="AG66" s="5">
</c>
      <c r="AH66" s="5">
</c>
      <c r="AI66" s="5">
</c>
      <c r="AJ66" s="5">
</c>
      <c r="AK66" s="5">
</c>
    </row>
    <row r="67" ht="65.25" customHeight="1">
      <c r="A67" s="6" t="s">
        <v>23</v>
      </c>
      <c r="B67" s="6" t="s">
        <v>69</v>
      </c>
      <c r="C67" s="11" t="s">
        <v>235</v>
      </c>
      <c r="D67" s="11" t="s">
        <v>236</v>
      </c>
      <c r="E67" s="6" t="s">
        <v>56</v>
      </c>
      <c r="F67" s="6" t="s">
        <v>237</v>
      </c>
      <c r="G67" s="6" cm="1" t="str">
        <f t="array" ref="G67">IF(F67="","",SUBSTITUTE(SUBSTITUTE(SUBSTITUTE(SUBSTITUTE(F67,"&lt;li&gt;",CHAR(10)),"&lt;/li&gt;",""),"&lt;br&gt;",CHAR(10)),"&lt;strong&gt;",""))</f>
        <v>&lt;p&gt;RDV physique 17/04 avec Virginie Bernard (mandataire BDR) : pas d'intérêt pour l'instant, BPCE SA privilégiée. Réunion de présentation reportée à plus tard. Aucune action ou activité future planifiée à ce stade. Nouvelle piste créée pour équipe Ventes le 13/03. Aucun suivi supplémentaire.&lt;/p&gt;</v>
      </c>
      <c r="H67" s="6" cm="1" t="str">
        <f t="array" ref="H67">IF(G67="","",SUBSTITUTE(SUBSTITUTE(SUBSTITUTE(SUBSTITUTE(SUBSTITUTE(G67,"&lt;p&gt;",""),"&lt;/p&gt;",""),"&lt;ul&gt;",""),"&lt;/ul&gt;",""),"&lt;/strong&gt;",""))</f>
        <v>RDV physique 17/04 avec Virginie Bernard (mandataire BDR) : pas d'intérêt pour l'instant, BPCE SA privilégiée. Réunion de présentation reportée à plus tard. Aucune action ou activité future planifiée à ce stade. Nouvelle piste créée pour équipe Ventes le 13/03. Aucun suivi supplémentaire.</v>
      </c>
      <c r="I67" s="12" cm="1" t="str">
        <f t="array" ref="I67">IF(C67="","",IF(OR(H67="",H67=0,H67=FALSE),"-",H67))</f>
        <v>RDV physique 17/04 avec Virginie Bernard (mandataire BDR) : pas d'intérêt pour l'instant, BPCE SA privilégiée. Réunion de présentation reportée à plus tard. Aucune action ou activité future planifiée à ce stade. Nouvelle piste créée pour équipe Ventes le 13/03. Aucun suivi supplémentaire.</v>
      </c>
      <c r="J67" s="6">
</c>
      <c r="K67" s="6" t="s">
        <v>238</v>
      </c>
      <c r="L67" s="6" cm="1" t="str">
        <f t="array" ref="L67">IF(C67="","",IF(K67="Mort / Plus rien à faire","KO","OK"))</f>
        <v>KO</v>
      </c>
      <c r="M67" s="13">
        <v>46132.61423611111</v>
      </c>
      <c r="N67" s="13" cm="1" t="n">
        <f t="array" ref="N67">IF(OR(C67="",M67="",M67=0),"",M67)</f>
        <v>46132.61423611111</v>
      </c>
      <c r="O67" s="13">
</c>
      <c r="P67" s="13" cm="1" t="str">
        <f t="array" ref="P67">IF(C67="","",IF(OR(O67="",O67=0),"-",O67))</f>
        <v>-</v>
      </c>
      <c r="Q67" s="14">
        <v>0</v>
      </c>
      <c r="R67" s="6" cm="1" t="str">
        <f t="array" ref="R67">IF(C67="","",ROUND(Q67/1000000,3)&amp;" M€")</f>
        <v>0 M€</v>
      </c>
      <c r="S67" s="15">
        <v>0</v>
      </c>
      <c r="T67" s="6" cm="1" t="str">
        <f t="array" ref="T67">IF(C67="","",SUBSTITUTE(S67,"","")&amp;"%")</f>
        <v>0%</v>
      </c>
      <c r="U67" s="12" cm="1" t="str">
        <f t="array" ref="U67">IF(($N67="")*($P67=""),"",IF(($N67&lt;&gt;"")*($N67&gt;TODAY()-9)*($N67&lt;TODAY()+1)*($P67&lt;&gt;"")*($P67&gt;=TODAY())*($P67&lt;=TODAY()+13),"Semaine passée &amp; à venir",IF(($N67&lt;&gt;"")*($N67&gt;TODAY()-9)*($N67&lt;TODAY()+1),"Semaine passée",IF(($P67&lt;&gt;"")*($P67&gt;=TODAY())*($P67&lt;=TODAY()+13),"À venir","Autre"))))</f>
        <v>Autre</v>
      </c>
      <c r="V67" s="5" cm="1" t="n">
        <f t="array" ref="V67">IF(C67&lt;&gt;"",1,0)</f>
        <v>1</v>
      </c>
      <c r="W67" s="5">
</c>
      <c r="X67" s="5">
</c>
      <c r="Y67" s="5">
</c>
      <c r="Z67" s="5">
</c>
      <c r="AA67" s="5">
</c>
      <c r="AB67" s="5">
</c>
      <c r="AC67" s="5">
</c>
      <c r="AD67" s="5">
</c>
      <c r="AE67" s="5">
</c>
      <c r="AF67" s="5">
</c>
      <c r="AG67" s="5">
</c>
      <c r="AH67" s="5">
</c>
      <c r="AI67" s="5">
</c>
      <c r="AJ67" s="5">
</c>
      <c r="AK67" s="5">
</c>
    </row>
    <row r="68" ht="65.25" customHeight="1">
      <c r="A68" s="6" t="s">
        <v>23</v>
      </c>
      <c r="B68" s="6" t="s">
        <v>40</v>
      </c>
      <c r="C68" s="11" t="s">
        <v>239</v>
      </c>
      <c r="D68" s="11" t="s">
        <v>239</v>
      </c>
      <c r="E68" s="6" t="s">
        <v>27</v>
      </c>
      <c r="F68" s="6" t="s">
        <v>240</v>
      </c>
      <c r="G68" s="6" cm="1" t="str">
        <f t="array" ref="G68">IF(F68="","",SUBSTITUTE(SUBSTITUTE(SUBSTITUTE(SUBSTITUTE(F68,"&lt;li&gt;",CHAR(10)),"&lt;/li&gt;",""),"&lt;br&gt;",CHAR(10)),"&lt;strong&gt;",""))</f>
        <v>&lt;p&gt;Prospect a rempli le questionnaire via site Audacia, relancé par mail avec proposition RDV + doc FCPI. Appel : prospect préfère d'autres fonds, FCPI pas prioritaire, intéressé par Quanto mais fonds fermé, pas de suite prévue, nous recontactera si questions. Pas d'activité récente ni prochaine étape.&lt;/p&gt;</v>
      </c>
      <c r="H68" s="6" cm="1" t="str">
        <f t="array" ref="H68">IF(G68="","",SUBSTITUTE(SUBSTITUTE(SUBSTITUTE(SUBSTITUTE(SUBSTITUTE(G68,"&lt;p&gt;",""),"&lt;/p&gt;",""),"&lt;ul&gt;",""),"&lt;/ul&gt;",""),"&lt;/strong&gt;",""))</f>
        <v>Prospect a rempli le questionnaire via site Audacia, relancé par mail avec proposition RDV + doc FCPI. Appel : prospect préfère d'autres fonds, FCPI pas prioritaire, intéressé par Quanto mais fonds fermé, pas de suite prévue, nous recontactera si questions. Pas d'activité récente ni prochaine étape.</v>
      </c>
      <c r="I68" s="12" cm="1" t="str">
        <f t="array" ref="I68">IF(C68="","",IF(OR(H68="",H68=0,H68=FALSE),"-",H68))</f>
        <v>Prospect a rempli le questionnaire via site Audacia, relancé par mail avec proposition RDV + doc FCPI. Appel : prospect préfère d'autres fonds, FCPI pas prioritaire, intéressé par Quanto mais fonds fermé, pas de suite prévue, nous recontactera si questions. Pas d'activité récente ni prochaine étape.</v>
      </c>
      <c r="J68" s="6">
</c>
      <c r="K68" s="6" t="s">
        <v>241</v>
      </c>
      <c r="L68" s="6" cm="1" t="str">
        <f t="array" ref="L68">IF(C68="","",IF(K68="Mort / Plus rien à faire","KO","OK"))</f>
        <v>OK</v>
      </c>
      <c r="M68" s="13">
        <v>46133.50263888889</v>
      </c>
      <c r="N68" s="13" cm="1" t="n">
        <f t="array" ref="N68">IF(OR(C68="",M68="",M68=0),"",M68)</f>
        <v>46133.50263888889</v>
      </c>
      <c r="O68" s="13">
</c>
      <c r="P68" s="13" cm="1" t="str">
        <f t="array" ref="P68">IF(C68="","",IF(OR(O68="",O68=0),"-",O68))</f>
        <v>-</v>
      </c>
      <c r="Q68" s="14">
        <v>0</v>
      </c>
      <c r="R68" s="6" cm="1" t="str">
        <f t="array" ref="R68">IF(C68="","",ROUND(Q68/1000000,3)&amp;" M€")</f>
        <v>0 M€</v>
      </c>
      <c r="S68" s="15">
        <v>0</v>
      </c>
      <c r="T68" s="6" cm="1" t="str">
        <f t="array" ref="T68">IF(C68="","",SUBSTITUTE(S68,"","")&amp;"%")</f>
        <v>0%</v>
      </c>
      <c r="U68" s="12" cm="1" t="str">
        <f t="array" ref="U68">IF(($N68="")*($P68=""),"",IF(($N68&lt;&gt;"")*($N68&gt;TODAY()-9)*($N68&lt;TODAY()+1)*($P68&lt;&gt;"")*($P68&gt;=TODAY())*($P68&lt;=TODAY()+13),"Semaine passée &amp; à venir",IF(($N68&lt;&gt;"")*($N68&gt;TODAY()-9)*($N68&lt;TODAY()+1),"Semaine passée",IF(($P68&lt;&gt;"")*($P68&gt;=TODAY())*($P68&lt;=TODAY()+13),"À venir","Autre"))))</f>
        <v>Autre</v>
      </c>
      <c r="V68" s="5" cm="1" t="n">
        <f t="array" ref="V68">IF(C68&lt;&gt;"",1,0)</f>
        <v>1</v>
      </c>
      <c r="W68" s="5">
</c>
      <c r="X68" s="5">
</c>
      <c r="Y68" s="5">
</c>
      <c r="Z68" s="5">
</c>
      <c r="AA68" s="5">
</c>
      <c r="AB68" s="5">
</c>
      <c r="AC68" s="5">
</c>
      <c r="AD68" s="5">
</c>
      <c r="AE68" s="5">
</c>
      <c r="AF68" s="5">
</c>
      <c r="AG68" s="5">
</c>
      <c r="AH68" s="5">
</c>
      <c r="AI68" s="5">
</c>
      <c r="AJ68" s="5">
</c>
      <c r="AK68" s="5">
</c>
    </row>
    <row r="69" ht="65.25" customHeight="1">
      <c r="A69" s="6" t="s">
        <v>23</v>
      </c>
      <c r="B69" s="6" t="s">
        <v>242</v>
      </c>
      <c r="C69" s="11" t="s">
        <v>243</v>
      </c>
      <c r="D69" s="11" t="s">
        <v>244</v>
      </c>
      <c r="E69" s="6" t="s">
        <v>44</v>
      </c>
      <c r="F69" s="6" t="s">
        <v>245</v>
      </c>
      <c r="G69" s="6" cm="1" t="str">
        <f t="array" ref="G69">IF(F69="","",SUBSTITUTE(SUBSTITUTE(SUBSTITUTE(SUBSTITUTE(F69,"&lt;li&gt;",CHAR(10)),"&lt;/li&gt;",""),"&lt;br&gt;",CHAR(10)),"&lt;strong&gt;",""))</f>
        <v>&lt;p&gt;Piste créée pour équipe Ventes. Tentative d'enrichissement échouée (email invalide). Contact à effectuer par LG, déjà pitché mais pas à cette personne. Dernier retour prospect : pas d'intérêts. Pas d'autres actions ou prochaines étapes identifiées à ce jour.&lt;/p&gt;</v>
      </c>
      <c r="H69" s="6" cm="1" t="str">
        <f t="array" ref="H69">IF(G69="","",SUBSTITUTE(SUBSTITUTE(SUBSTITUTE(SUBSTITUTE(SUBSTITUTE(G69,"&lt;p&gt;",""),"&lt;/p&gt;",""),"&lt;ul&gt;",""),"&lt;/ul&gt;",""),"&lt;/strong&gt;",""))</f>
        <v>Piste créée pour équipe Ventes. Tentative d'enrichissement échouée (email invalide). Contact à effectuer par LG, déjà pitché mais pas à cette personne. Dernier retour prospect : pas d'intérêts. Pas d'autres actions ou prochaines étapes identifiées à ce jour.</v>
      </c>
      <c r="I69" s="12" cm="1" t="str">
        <f t="array" ref="I69">IF(C69="","",IF(OR(H69="",H69=0,H69=FALSE),"-",H69))</f>
        <v>Piste créée pour équipe Ventes. Tentative d'enrichissement échouée (email invalide). Contact à effectuer par LG, déjà pitché mais pas à cette personne. Dernier retour prospect : pas d'intérêts. Pas d'autres actions ou prochaines étapes identifiées à ce jour.</v>
      </c>
      <c r="J69" s="6">
</c>
      <c r="K69" s="6" t="s">
        <v>238</v>
      </c>
      <c r="L69" s="6" cm="1" t="str">
        <f t="array" ref="L69">IF(C69="","",IF(K69="Mort / Plus rien à faire","KO","OK"))</f>
        <v>KO</v>
      </c>
      <c r="M69" s="13">
        <v>46139.652141203704</v>
      </c>
      <c r="N69" s="13" cm="1" t="n">
        <f t="array" ref="N69">IF(OR(C69="",M69="",M69=0),"",M69)</f>
        <v>46139.652141203704</v>
      </c>
      <c r="O69" s="13">
</c>
      <c r="P69" s="13" cm="1" t="str">
        <f t="array" ref="P69">IF(C69="","",IF(OR(O69="",O69=0),"-",O69))</f>
        <v>-</v>
      </c>
      <c r="Q69" s="14">
        <v>0</v>
      </c>
      <c r="R69" s="6" cm="1" t="str">
        <f t="array" ref="R69">IF(C69="","",ROUND(Q69/1000000,3)&amp;" M€")</f>
        <v>0 M€</v>
      </c>
      <c r="S69" s="15">
        <v>0</v>
      </c>
      <c r="T69" s="6" cm="1" t="str">
        <f t="array" ref="T69">IF(C69="","",SUBSTITUTE(S69,"","")&amp;"%")</f>
        <v>0%</v>
      </c>
      <c r="U69" s="12" cm="1" t="str">
        <f t="array" ref="U69">IF(($N69="")*($P69=""),"",IF(($N69&lt;&gt;"")*($N69&gt;TODAY()-9)*($N69&lt;TODAY()+1)*($P69&lt;&gt;"")*($P69&gt;=TODAY())*($P69&lt;=TODAY()+13),"Semaine passée &amp; à venir",IF(($N69&lt;&gt;"")*($N69&gt;TODAY()-9)*($N69&lt;TODAY()+1),"Semaine passée",IF(($P69&lt;&gt;"")*($P69&gt;=TODAY())*($P69&lt;=TODAY()+13),"À venir","Autre"))))</f>
        <v>Semaine passée</v>
      </c>
      <c r="V69" s="5" cm="1" t="n">
        <f t="array" ref="V69">IF(C69&lt;&gt;"",1,0)</f>
        <v>1</v>
      </c>
      <c r="W69" s="5">
</c>
      <c r="X69" s="5">
</c>
      <c r="Y69" s="5">
</c>
      <c r="Z69" s="5">
</c>
      <c r="AA69" s="5">
</c>
      <c r="AB69" s="5">
</c>
      <c r="AC69" s="5">
</c>
      <c r="AD69" s="5">
</c>
      <c r="AE69" s="5">
</c>
      <c r="AF69" s="5">
</c>
      <c r="AG69" s="5">
</c>
      <c r="AH69" s="5">
</c>
      <c r="AI69" s="5">
</c>
      <c r="AJ69" s="5">
</c>
      <c r="AK69" s="5">
</c>
    </row>
    <row r="70" ht="65.25" customHeight="1">
      <c r="A70" s="6" t="s">
        <v>23</v>
      </c>
      <c r="B70" s="6" t="s">
        <v>246</v>
      </c>
      <c r="C70" s="11" t="s">
        <v>247</v>
      </c>
      <c r="D70" s="11" t="s">
        <v>248</v>
      </c>
      <c r="E70" s="6" t="s">
        <v>27</v>
      </c>
      <c r="F70" s="6" t="s">
        <v>249</v>
      </c>
      <c r="G70" s="6" cm="1" t="str">
        <f t="array" ref="G70">IF(F70="","",SUBSTITUTE(SUBSTITUTE(SUBSTITUTE(SUBSTITUTE(F70,"&lt;li&gt;",CHAR(10)),"&lt;/li&gt;",""),"&lt;br&gt;",CHAR(10)),"&lt;strong&gt;",""))</f>
        <v>&lt;p&gt;Multiples relances mails/appels FCPI de nov. 2025 à avr. 2026. Prospect intéressé par nos stratégies mais préfère renforcer relations existantes, pas de nouveaux partenaires pour l’instant. Dernier échange 20/04/2026&amp;nbsp;: ne souhaite plus être contacté, reviendra si besoin. Pas d’action à venir.&lt;/p&gt;</v>
      </c>
      <c r="H70" s="6" cm="1" t="str">
        <f t="array" ref="H70">IF(G70="","",SUBSTITUTE(SUBSTITUTE(SUBSTITUTE(SUBSTITUTE(SUBSTITUTE(G70,"&lt;p&gt;",""),"&lt;/p&gt;",""),"&lt;ul&gt;",""),"&lt;/ul&gt;",""),"&lt;/strong&gt;",""))</f>
        <v>Multiples relances mails/appels FCPI de nov. 2025 à avr. 2026. Prospect intéressé par nos stratégies mais préfère renforcer relations existantes, pas de nouveaux partenaires pour l’instant. Dernier échange 20/04/2026&amp;nbsp;: ne souhaite plus être contacté, reviendra si besoin. Pas d’action à venir.</v>
      </c>
      <c r="I70" s="12" cm="1" t="str">
        <f t="array" ref="I70">IF(C70="","",IF(OR(H70="",H70=0,H70=FALSE),"-",H70))</f>
        <v>Multiples relances mails/appels FCPI de nov. 2025 à avr. 2026. Prospect intéressé par nos stratégies mais préfère renforcer relations existantes, pas de nouveaux partenaires pour l’instant. Dernier échange 20/04/2026&amp;nbsp;: ne souhaite plus être contacté, reviendra si besoin. Pas d’action à venir.</v>
      </c>
      <c r="J70" s="6">
</c>
      <c r="K70" s="6" t="s">
        <v>241</v>
      </c>
      <c r="L70" s="6" cm="1" t="str">
        <f t="array" ref="L70">IF(C70="","",IF(K70="Mort / Plus rien à faire","KO","OK"))</f>
        <v>OK</v>
      </c>
      <c r="M70" s="13">
        <v>46128.66489583333</v>
      </c>
      <c r="N70" s="13" cm="1" t="n">
        <f t="array" ref="N70">IF(OR(C70="",M70="",M70=0),"",M70)</f>
        <v>46128.66489583333</v>
      </c>
      <c r="O70" s="13">
</c>
      <c r="P70" s="13" cm="1" t="str">
        <f t="array" ref="P70">IF(C70="","",IF(OR(O70="",O70=0),"-",O70))</f>
        <v>-</v>
      </c>
      <c r="Q70" s="14">
        <v>0</v>
      </c>
      <c r="R70" s="6" cm="1" t="str">
        <f t="array" ref="R70">IF(C70="","",ROUND(Q70/1000000,3)&amp;" M€")</f>
        <v>0 M€</v>
      </c>
      <c r="S70" s="15">
        <v>0</v>
      </c>
      <c r="T70" s="6" cm="1" t="str">
        <f t="array" ref="T70">IF(C70="","",SUBSTITUTE(S70,"","")&amp;"%")</f>
        <v>0%</v>
      </c>
      <c r="U70" s="12" cm="1" t="str">
        <f t="array" ref="U70">IF(($N70="")*($P70=""),"",IF(($N70&lt;&gt;"")*($N70&gt;TODAY()-9)*($N70&lt;TODAY()+1)*($P70&lt;&gt;"")*($P70&gt;=TODAY())*($P70&lt;=TODAY()+13),"Semaine passée &amp; à venir",IF(($N70&lt;&gt;"")*($N70&gt;TODAY()-9)*($N70&lt;TODAY()+1),"Semaine passée",IF(($P70&lt;&gt;"")*($P70&gt;=TODAY())*($P70&lt;=TODAY()+13),"À venir","Autre"))))</f>
        <v>Autre</v>
      </c>
      <c r="V70" s="5" cm="1" t="n">
        <f t="array" ref="V70">IF(C70&lt;&gt;"",1,0)</f>
        <v>1</v>
      </c>
      <c r="W70" s="5">
</c>
      <c r="X70" s="5">
</c>
      <c r="Y70" s="5">
</c>
      <c r="Z70" s="5">
</c>
      <c r="AA70" s="5">
</c>
      <c r="AB70" s="5">
</c>
      <c r="AC70" s="5">
</c>
      <c r="AD70" s="5">
</c>
      <c r="AE70" s="5">
</c>
      <c r="AF70" s="5">
</c>
      <c r="AG70" s="5">
</c>
      <c r="AH70" s="5">
</c>
      <c r="AI70" s="5">
</c>
      <c r="AJ70" s="5">
</c>
      <c r="AK70" s="5">
</c>
    </row>
    <row r="71" ht="65.25" customHeight="1">
      <c r="A71" s="6" t="s">
        <v>23</v>
      </c>
      <c r="B71" s="6" t="s">
        <v>24</v>
      </c>
      <c r="C71" s="11" t="s">
        <v>250</v>
      </c>
      <c r="D71" s="11" t="s">
        <v>251</v>
      </c>
      <c r="E71" s="6" t="s">
        <v>56</v>
      </c>
      <c r="F71" s="6" t="s">
        <v>252</v>
      </c>
      <c r="G71" s="6" cm="1" t="str">
        <f t="array" ref="G71">IF(F71="","",SUBSTITUTE(SUBSTITUTE(SUBSTITUTE(SUBSTITUTE(F71,"&lt;li&gt;",CHAR(10)),"&lt;/li&gt;",""),"&lt;br&gt;",CHAR(10)),"&lt;strong&gt;",""))</f>
        <v>&lt;p&gt;17/03 RDV avec Oliver Samain : discussion FCPI/FPCI, problématique valorisation trimestrielle/quotidienne pour assurance vie, liquidité, deeptech dès 5k€, taille fonds dépend enjeu stratégique, référencement CGP/assureurs Qonto/Bourso/Revolut. Prochaine étape : caler café pour revue marché/avis.&lt;/p&gt;</v>
      </c>
      <c r="H71" s="6" cm="1" t="str">
        <f t="array" ref="H71">IF(G71="","",SUBSTITUTE(SUBSTITUTE(SUBSTITUTE(SUBSTITUTE(SUBSTITUTE(G71,"&lt;p&gt;",""),"&lt;/p&gt;",""),"&lt;ul&gt;",""),"&lt;/ul&gt;",""),"&lt;/strong&gt;",""))</f>
        <v>17/03 RDV avec Oliver Samain : discussion FCPI/FPCI, problématique valorisation trimestrielle/quotidienne pour assurance vie, liquidité, deeptech dès 5k€, taille fonds dépend enjeu stratégique, référencement CGP/assureurs Qonto/Bourso/Revolut. Prochaine étape : caler café pour revue marché/avis.</v>
      </c>
      <c r="I71" s="12" cm="1" t="str">
        <f t="array" ref="I71">IF(C71="","",IF(OR(H71="",H71=0,H71=FALSE),"-",H71))</f>
        <v>17/03 RDV avec Oliver Samain : discussion FCPI/FPCI, problématique valorisation trimestrielle/quotidienne pour assurance vie, liquidité, deeptech dès 5k€, taille fonds dépend enjeu stratégique, référencement CGP/assureurs Qonto/Bourso/Revolut. Prochaine étape : caler café pour revue marché/avis.</v>
      </c>
      <c r="J71" s="6" t="s">
        <v>253</v>
      </c>
      <c r="K71" s="6" t="s">
        <v>238</v>
      </c>
      <c r="L71" s="6" cm="1" t="str">
        <f t="array" ref="L71">IF(C71="","",IF(K71="Mort / Plus rien à faire","KO","OK"))</f>
        <v>KO</v>
      </c>
      <c r="M71" s="13">
        <v>46132.61608796296</v>
      </c>
      <c r="N71" s="13" cm="1" t="n">
        <f t="array" ref="N71">IF(OR(C71="",M71="",M71=0),"",M71)</f>
        <v>46132.61608796296</v>
      </c>
      <c r="O71" s="13">
</c>
      <c r="P71" s="13" cm="1" t="str">
        <f t="array" ref="P71">IF(C71="","",IF(OR(O71="",O71=0),"-",O71))</f>
        <v>-</v>
      </c>
      <c r="Q71" s="14">
        <v>0</v>
      </c>
      <c r="R71" s="6" cm="1" t="str">
        <f t="array" ref="R71">IF(C71="","",ROUND(Q71/1000000,3)&amp;" M€")</f>
        <v>0 M€</v>
      </c>
      <c r="S71" s="15">
        <v>0</v>
      </c>
      <c r="T71" s="6" cm="1" t="str">
        <f t="array" ref="T71">IF(C71="","",SUBSTITUTE(S71,"","")&amp;"%")</f>
        <v>0%</v>
      </c>
      <c r="U71" s="12" cm="1" t="str">
        <f t="array" ref="U71">IF(($N71="")*($P71=""),"",IF(($N71&lt;&gt;"")*($N71&gt;TODAY()-9)*($N71&lt;TODAY()+1)*($P71&lt;&gt;"")*($P71&gt;=TODAY())*($P71&lt;=TODAY()+13),"Semaine passée &amp; à venir",IF(($N71&lt;&gt;"")*($N71&gt;TODAY()-9)*($N71&lt;TODAY()+1),"Semaine passée",IF(($P71&lt;&gt;"")*($P71&gt;=TODAY())*($P71&lt;=TODAY()+13),"À venir","Autre"))))</f>
        <v>Autre</v>
      </c>
      <c r="V71" s="5" cm="1" t="n">
        <f t="array" ref="V71">IF(C71&lt;&gt;"",1,0)</f>
        <v>1</v>
      </c>
      <c r="W71" s="5">
</c>
      <c r="X71" s="5">
</c>
      <c r="Y71" s="5">
</c>
      <c r="Z71" s="5">
</c>
      <c r="AA71" s="5">
</c>
      <c r="AB71" s="5">
</c>
      <c r="AC71" s="5">
</c>
      <c r="AD71" s="5">
</c>
      <c r="AE71" s="5">
</c>
      <c r="AF71" s="5">
</c>
      <c r="AG71" s="5">
</c>
      <c r="AH71" s="5">
</c>
      <c r="AI71" s="5">
</c>
      <c r="AJ71" s="5">
</c>
      <c r="AK71" s="5">
</c>
    </row>
    <row r="72" ht="65.25" customHeight="1">
      <c r="A72" s="6" t="s">
        <v>23</v>
      </c>
      <c r="B72" s="6" t="s">
        <v>24</v>
      </c>
      <c r="C72" s="11" t="s">
        <v>254</v>
      </c>
      <c r="D72" s="11" t="s">
        <v>255</v>
      </c>
      <c r="E72" s="6" t="s">
        <v>56</v>
      </c>
      <c r="F72" s="6" t="s">
        <v>256</v>
      </c>
      <c r="G72" s="6" cm="1" t="str">
        <f t="array" ref="G72">IF(F72="","",SUBSTITUTE(SUBSTITUTE(SUBSTITUTE(SUBSTITUTE(F72,"&lt;li&gt;",CHAR(10)),"&lt;/li&gt;",""),"&lt;br&gt;",CHAR(10)),"&lt;strong&gt;",""))</f>
        <v>&lt;p&gt;Aucune activité ni échange significatif relevé à ce jour sur cette opportunité. Seule information : piste créée pour l'équipe Ventes. Aucun suivi, action ou retour prospect enregistré. Pas de prochaines étapes identifiées ni de conclusion sur les fonds présentés.&lt;/p&gt;</v>
      </c>
      <c r="H72" s="6" cm="1" t="str">
        <f t="array" ref="H72">IF(G72="","",SUBSTITUTE(SUBSTITUTE(SUBSTITUTE(SUBSTITUTE(SUBSTITUTE(G72,"&lt;p&gt;",""),"&lt;/p&gt;",""),"&lt;ul&gt;",""),"&lt;/ul&gt;",""),"&lt;/strong&gt;",""))</f>
        <v>Aucune activité ni échange significatif relevé à ce jour sur cette opportunité. Seule information : piste créée pour l'équipe Ventes. Aucun suivi, action ou retour prospect enregistré. Pas de prochaines étapes identifiées ni de conclusion sur les fonds présentés.</v>
      </c>
      <c r="I72" s="12" cm="1" t="str">
        <f t="array" ref="I72">IF(C72="","",IF(OR(H72="",H72=0,H72=FALSE),"-",H72))</f>
        <v>Aucune activité ni échange significatif relevé à ce jour sur cette opportunité. Seule information : piste créée pour l'équipe Ventes. Aucun suivi, action ou retour prospect enregistré. Pas de prochaines étapes identifiées ni de conclusion sur les fonds présentés.</v>
      </c>
      <c r="J72" s="6" t="s">
        <v>257</v>
      </c>
      <c r="K72" s="6" t="s">
        <v>74</v>
      </c>
      <c r="L72" s="6" cm="1" t="str">
        <f t="array" ref="L72">IF(C72="","",IF(K72="Mort / Plus rien à faire","KO","OK"))</f>
        <v>OK</v>
      </c>
      <c r="M72" s="13">
        <v>46101.4803125</v>
      </c>
      <c r="N72" s="13" cm="1" t="n">
        <f t="array" ref="N72">IF(OR(C72="",M72="",M72=0),"",M72)</f>
        <v>46101.4803125</v>
      </c>
      <c r="O72" s="13">
</c>
      <c r="P72" s="13" cm="1" t="str">
        <f t="array" ref="P72">IF(C72="","",IF(OR(O72="",O72=0),"-",O72))</f>
        <v>-</v>
      </c>
      <c r="Q72" s="14">
        <v>0</v>
      </c>
      <c r="R72" s="6" cm="1" t="str">
        <f t="array" ref="R72">IF(C72="","",ROUND(Q72/1000000,3)&amp;" M€")</f>
        <v>0 M€</v>
      </c>
      <c r="S72" s="15">
        <v>0</v>
      </c>
      <c r="T72" s="6" cm="1" t="str">
        <f t="array" ref="T72">IF(C72="","",SUBSTITUTE(S72,"","")&amp;"%")</f>
        <v>0%</v>
      </c>
      <c r="U72" s="12" cm="1" t="str">
        <f t="array" ref="U72">IF(($N72="")*($P72=""),"",IF(($N72&lt;&gt;"")*($N72&gt;TODAY()-9)*($N72&lt;TODAY()+1)*($P72&lt;&gt;"")*($P72&gt;=TODAY())*($P72&lt;=TODAY()+13),"Semaine passée &amp; à venir",IF(($N72&lt;&gt;"")*($N72&gt;TODAY()-9)*($N72&lt;TODAY()+1),"Semaine passée",IF(($P72&lt;&gt;"")*($P72&gt;=TODAY())*($P72&lt;=TODAY()+13),"À venir","Autre"))))</f>
        <v>Autre</v>
      </c>
      <c r="V72" s="5" cm="1" t="n">
        <f t="array" ref="V72">IF(C72&lt;&gt;"",1,0)</f>
        <v>1</v>
      </c>
      <c r="W72" s="5">
</c>
      <c r="X72" s="5">
</c>
      <c r="Y72" s="5">
</c>
      <c r="Z72" s="5">
</c>
      <c r="AA72" s="5">
</c>
      <c r="AB72" s="5">
</c>
      <c r="AC72" s="5">
</c>
      <c r="AD72" s="5">
</c>
      <c r="AE72" s="5">
</c>
      <c r="AF72" s="5">
</c>
      <c r="AG72" s="5">
</c>
      <c r="AH72" s="5">
</c>
      <c r="AI72" s="5">
</c>
      <c r="AJ72" s="5">
</c>
      <c r="AK72" s="5">
</c>
    </row>
    <row r="73" ht="65.25" customHeight="1">
      <c r="A73" s="6" t="s">
        <v>23</v>
      </c>
      <c r="B73" s="6" t="s">
        <v>40</v>
      </c>
      <c r="C73" s="11" t="s">
        <v>258</v>
      </c>
      <c r="D73" s="11" t="s">
        <v>258</v>
      </c>
      <c r="E73" s="6" t="s">
        <v>35</v>
      </c>
      <c r="F73" s="6" t="s">
        <v>259</v>
      </c>
      <c r="G73" s="6" cm="1" t="str">
        <f t="array" ref="G73">IF(F73="","",SUBSTITUTE(SUBSTITUTE(SUBSTITUTE(SUBSTITUTE(F73,"&lt;li&gt;",CHAR(10)),"&lt;/li&gt;",""),"&lt;br&gt;",CHAR(10)),"&lt;strong&gt;",""))</f>
        <v>&lt;p&gt;24/02/2026 : Café avec HNWI, ex-cofondateur Matis SDG, exit 1,5M€. Intérêt possible FCPI 30K€, autres tickets jugés trop élevés. Depuis, KO, prospect se concentre sur achat appartement. Dernière action : prise de news prévue pour 04/01/2027. Pas d'autres actions prévues à ce jour.&lt;/p&gt;</v>
      </c>
      <c r="H73" s="6" cm="1" t="str">
        <f t="array" ref="H73">IF(G73="","",SUBSTITUTE(SUBSTITUTE(SUBSTITUTE(SUBSTITUTE(SUBSTITUTE(G73,"&lt;p&gt;",""),"&lt;/p&gt;",""),"&lt;ul&gt;",""),"&lt;/ul&gt;",""),"&lt;/strong&gt;",""))</f>
        <v>24/02/2026 : Café avec HNWI, ex-cofondateur Matis SDG, exit 1,5M€. Intérêt possible FCPI 30K€, autres tickets jugés trop élevés. Depuis, KO, prospect se concentre sur achat appartement. Dernière action : prise de news prévue pour 04/01/2027. Pas d'autres actions prévues à ce jour.</v>
      </c>
      <c r="I73" s="12" cm="1" t="str">
        <f t="array" ref="I73">IF(C73="","",IF(OR(H73="",H73=0,H73=FALSE),"-",H73))</f>
        <v>24/02/2026 : Café avec HNWI, ex-cofondateur Matis SDG, exit 1,5M€. Intérêt possible FCPI 30K€, autres tickets jugés trop élevés. Depuis, KO, prospect se concentre sur achat appartement. Dernière action : prise de news prévue pour 04/01/2027. Pas d'autres actions prévues à ce jour.</v>
      </c>
      <c r="J73" s="6" t="s">
        <v>260</v>
      </c>
      <c r="K73" s="6" t="s">
        <v>238</v>
      </c>
      <c r="L73" s="6" cm="1" t="str">
        <f t="array" ref="L73">IF(C73="","",IF(K73="Mort / Plus rien à faire","KO","OK"))</f>
        <v>KO</v>
      </c>
      <c r="M73" s="13">
        <v>46126.52548611111</v>
      </c>
      <c r="N73" s="13" cm="1" t="n">
        <f t="array" ref="N73">IF(OR(C73="",M73="",M73=0),"",M73)</f>
        <v>46126.52548611111</v>
      </c>
      <c r="O73" s="13">
        <v>46470.041666666664</v>
      </c>
      <c r="P73" s="13" cm="1" t="n">
        <f t="array" ref="P73">IF(C73="","",IF(OR(O73="",O73=0),"-",O73))</f>
        <v>46470.041666666664</v>
      </c>
      <c r="Q73" s="14">
        <v>0</v>
      </c>
      <c r="R73" s="6" cm="1" t="str">
        <f t="array" ref="R73">IF(C73="","",ROUND(Q73/1000000,3)&amp;" M€")</f>
        <v>0 M€</v>
      </c>
      <c r="S73" s="15">
        <v>0</v>
      </c>
      <c r="T73" s="6" cm="1" t="str">
        <f t="array" ref="T73">IF(C73="","",SUBSTITUTE(S73,"","")&amp;"%")</f>
        <v>0%</v>
      </c>
      <c r="U73" s="12" cm="1" t="str">
        <f t="array" ref="U73">IF(($N73="")*($P73=""),"",IF(($N73&lt;&gt;"")*($N73&gt;TODAY()-9)*($N73&lt;TODAY()+1)*($P73&lt;&gt;"")*($P73&gt;=TODAY())*($P73&lt;=TODAY()+13),"Semaine passée &amp; à venir",IF(($N73&lt;&gt;"")*($N73&gt;TODAY()-9)*($N73&lt;TODAY()+1),"Semaine passée",IF(($P73&lt;&gt;"")*($P73&gt;=TODAY())*($P73&lt;=TODAY()+13),"À venir","Autre"))))</f>
        <v>Autre</v>
      </c>
      <c r="V73" s="5" cm="1" t="n">
        <f t="array" ref="V73">IF(C73&lt;&gt;"",1,0)</f>
        <v>1</v>
      </c>
      <c r="W73" s="5">
</c>
      <c r="X73" s="5">
</c>
      <c r="Y73" s="5">
</c>
      <c r="Z73" s="5">
</c>
      <c r="AA73" s="5">
</c>
      <c r="AB73" s="5">
</c>
      <c r="AC73" s="5">
</c>
      <c r="AD73" s="5">
</c>
      <c r="AE73" s="5">
</c>
      <c r="AF73" s="5">
</c>
      <c r="AG73" s="5">
</c>
      <c r="AH73" s="5">
</c>
      <c r="AI73" s="5">
</c>
      <c r="AJ73" s="5">
</c>
      <c r="AK73" s="5">
</c>
    </row>
    <row r="74" ht="65.25" customHeight="1">
      <c r="A74" s="6">
</c>
      <c r="B74" s="6">
</c>
      <c r="C74" s="11">
</c>
      <c r="D74" s="11">
</c>
      <c r="E74" s="6">
</c>
      <c r="F74" s="6">
</c>
      <c r="G74" s="6" cm="1" t="str">
        <f t="array" ref="G74">IF(F74="","",SUBSTITUTE(SUBSTITUTE(SUBSTITUTE(SUBSTITUTE(F74,"&lt;li&gt;",CHAR(10)),"&lt;/li&gt;",""),"&lt;br&gt;",CHAR(10)),"&lt;strong&gt;",""))</f>
        <v/>
      </c>
      <c r="H74" s="6" cm="1" t="str">
        <f t="array" ref="H74">IF(G74="","",SUBSTITUTE(SUBSTITUTE(SUBSTITUTE(SUBSTITUTE(SUBSTITUTE(G74,"&lt;p&gt;",""),"&lt;/p&gt;",""),"&lt;ul&gt;",""),"&lt;/ul&gt;",""),"&lt;/strong&gt;",""))</f>
        <v/>
      </c>
      <c r="I74" s="12" cm="1" t="str">
        <f t="array" ref="I74">IF(C74="","",IF(OR(H74="",H74=0,H74=FALSE),"-",H74))</f>
        <v/>
      </c>
      <c r="J74" s="6">
</c>
      <c r="K74" s="6">
</c>
      <c r="L74" s="6" cm="1" t="str">
        <f t="array" ref="L74">IF(C74="","",IF(K74="Mort / Plus rien à faire","KO","OK"))</f>
        <v/>
      </c>
      <c r="M74" s="13">
</c>
      <c r="N74" s="13" cm="1" t="str">
        <f t="array" ref="N74">IF(OR(C74="",M74="",M74=0),"",M74)</f>
        <v/>
      </c>
      <c r="O74" s="13">
</c>
      <c r="P74" s="13" cm="1" t="str">
        <f t="array" ref="P74">IF(C74="","",IF(OR(O74="",O74=0),"-",O74))</f>
        <v/>
      </c>
      <c r="Q74" s="14">
</c>
      <c r="R74" s="6" cm="1" t="str">
        <f t="array" ref="R74">IF(C74="","",ROUND(Q74/1000000,3)&amp;" M€")</f>
        <v/>
      </c>
      <c r="S74" s="15">
</c>
      <c r="T74" s="6" cm="1" t="str">
        <f t="array" ref="T74">IF(C74="","",SUBSTITUTE(S74,"","")&amp;"%")</f>
        <v/>
      </c>
      <c r="U74" s="12" cm="1" t="str">
        <f t="array" ref="U74">IF(($N74="")*($P74=""),"",IF(($N74&lt;&gt;"")*($N74&gt;TODAY()-9)*($N74&lt;TODAY()+1)*($P74&lt;&gt;"")*($P74&gt;=TODAY())*($P74&lt;=TODAY()+13),"Semaine passée &amp; à venir",IF(($N74&lt;&gt;"")*($N74&gt;TODAY()-9)*($N74&lt;TODAY()+1),"Semaine passée",IF(($P74&lt;&gt;"")*($P74&gt;=TODAY())*($P74&lt;=TODAY()+13),"À venir","Autre"))))</f>
        <v/>
      </c>
      <c r="V74" s="5" cm="1" t="n">
        <f t="array" ref="V74">IF(C74&lt;&gt;"",1,0)</f>
        <v>0</v>
      </c>
      <c r="W74" s="5">
</c>
      <c r="X74" s="5">
</c>
      <c r="Y74" s="5">
</c>
      <c r="Z74" s="5">
</c>
      <c r="AA74" s="5">
</c>
      <c r="AB74" s="5">
</c>
      <c r="AC74" s="5">
</c>
      <c r="AD74" s="5">
</c>
      <c r="AE74" s="5">
</c>
      <c r="AF74" s="5">
</c>
      <c r="AG74" s="5">
</c>
      <c r="AH74" s="5">
</c>
      <c r="AI74" s="5">
</c>
      <c r="AJ74" s="5">
</c>
      <c r="AK74" s="5">
</c>
    </row>
    <row r="75" ht="65.25" customHeight="1">
      <c r="A75" s="6">
</c>
      <c r="B75" s="6">
</c>
      <c r="C75" s="11">
</c>
      <c r="D75" s="11">
</c>
      <c r="E75" s="6">
</c>
      <c r="F75" s="6">
</c>
      <c r="G75" s="6" cm="1" t="str">
        <f t="array" ref="G75">IF(F75="","",SUBSTITUTE(SUBSTITUTE(SUBSTITUTE(SUBSTITUTE(F75,"&lt;li&gt;",CHAR(10)),"&lt;/li&gt;",""),"&lt;br&gt;",CHAR(10)),"&lt;strong&gt;",""))</f>
        <v/>
      </c>
      <c r="H75" s="6" cm="1" t="str">
        <f t="array" ref="H75">IF(G75="","",SUBSTITUTE(SUBSTITUTE(SUBSTITUTE(SUBSTITUTE(SUBSTITUTE(G75,"&lt;p&gt;",""),"&lt;/p&gt;",""),"&lt;ul&gt;",""),"&lt;/ul&gt;",""),"&lt;/strong&gt;",""))</f>
        <v/>
      </c>
      <c r="I75" s="12" cm="1" t="str">
        <f t="array" ref="I75">IF(C75="","",IF(OR(H75="",H75=0,H75=FALSE),"-",H75))</f>
        <v/>
      </c>
      <c r="J75" s="6">
</c>
      <c r="K75" s="6">
</c>
      <c r="L75" s="6" cm="1" t="str">
        <f t="array" ref="L75">IF(C75="","",IF(K75="Mort / Plus rien à faire","KO","OK"))</f>
        <v/>
      </c>
      <c r="M75" s="13">
</c>
      <c r="N75" s="13" cm="1" t="str">
        <f t="array" ref="N75">IF(OR(C75="",M75="",M75=0),"",M75)</f>
        <v/>
      </c>
      <c r="O75" s="13">
</c>
      <c r="P75" s="13" cm="1" t="str">
        <f t="array" ref="P75">IF(C75="","",IF(OR(O75="",O75=0),"-",O75))</f>
        <v/>
      </c>
      <c r="Q75" s="14">
</c>
      <c r="R75" s="6" cm="1" t="str">
        <f t="array" ref="R75">IF(C75="","",ROUND(Q75/1000000,3)&amp;" M€")</f>
        <v/>
      </c>
      <c r="S75" s="15">
</c>
      <c r="T75" s="6" cm="1" t="str">
        <f t="array" ref="T75">IF(C75="","",SUBSTITUTE(S75,"","")&amp;"%")</f>
        <v/>
      </c>
      <c r="U75" s="12" cm="1" t="str">
        <f t="array" ref="U75">IF(($N75="")*($P75=""),"",IF(($N75&lt;&gt;"")*($N75&gt;TODAY()-9)*($N75&lt;TODAY()+1)*($P75&lt;&gt;"")*($P75&gt;=TODAY())*($P75&lt;=TODAY()+13),"Semaine passée &amp; à venir",IF(($N75&lt;&gt;"")*($N75&gt;TODAY()-9)*($N75&lt;TODAY()+1),"Semaine passée",IF(($P75&lt;&gt;"")*($P75&gt;=TODAY())*($P75&lt;=TODAY()+13),"À venir","Autre"))))</f>
        <v/>
      </c>
      <c r="V75" s="5" cm="1" t="n">
        <f t="array" ref="V75">IF(C75&lt;&gt;"",1,0)</f>
        <v>0</v>
      </c>
      <c r="W75" s="5">
</c>
      <c r="X75" s="5">
</c>
      <c r="Y75" s="5">
</c>
      <c r="Z75" s="5">
</c>
      <c r="AA75" s="5">
</c>
      <c r="AB75" s="5">
</c>
      <c r="AC75" s="5">
</c>
      <c r="AD75" s="5">
</c>
      <c r="AE75" s="5">
</c>
      <c r="AF75" s="5">
</c>
      <c r="AG75" s="5">
</c>
      <c r="AH75" s="5">
</c>
      <c r="AI75" s="5">
</c>
      <c r="AJ75" s="5">
</c>
      <c r="AK75" s="5">
</c>
    </row>
    <row r="76" ht="65.25" customHeight="1">
      <c r="A76" s="6">
</c>
      <c r="B76" s="6">
</c>
      <c r="C76" s="11">
</c>
      <c r="D76" s="11">
</c>
      <c r="E76" s="6">
</c>
      <c r="F76" s="6">
</c>
      <c r="G76" s="6" cm="1" t="str">
        <f t="array" ref="G76">IF(F76="","",SUBSTITUTE(SUBSTITUTE(SUBSTITUTE(SUBSTITUTE(F76,"&lt;li&gt;",CHAR(10)),"&lt;/li&gt;",""),"&lt;br&gt;",CHAR(10)),"&lt;strong&gt;",""))</f>
        <v/>
      </c>
      <c r="H76" s="6" cm="1" t="str">
        <f t="array" ref="H76">IF(G76="","",SUBSTITUTE(SUBSTITUTE(SUBSTITUTE(SUBSTITUTE(SUBSTITUTE(G76,"&lt;p&gt;",""),"&lt;/p&gt;",""),"&lt;ul&gt;",""),"&lt;/ul&gt;",""),"&lt;/strong&gt;",""))</f>
        <v/>
      </c>
      <c r="I76" s="12" cm="1" t="str">
        <f t="array" ref="I76">IF(C76="","",IF(OR(H76="",H76=0,H76=FALSE),"-",H76))</f>
        <v/>
      </c>
      <c r="J76" s="6">
</c>
      <c r="K76" s="6">
</c>
      <c r="L76" s="6" cm="1" t="str">
        <f t="array" ref="L76">IF(C76="","",IF(K76="Mort / Plus rien à faire","KO","OK"))</f>
        <v/>
      </c>
      <c r="M76" s="13">
</c>
      <c r="N76" s="13" cm="1" t="str">
        <f t="array" ref="N76">IF(OR(C76="",M76="",M76=0),"",M76)</f>
        <v/>
      </c>
      <c r="O76" s="13">
</c>
      <c r="P76" s="13" cm="1" t="str">
        <f t="array" ref="P76">IF(C76="","",IF(OR(O76="",O76=0),"-",O76))</f>
        <v/>
      </c>
      <c r="Q76" s="14">
</c>
      <c r="R76" s="6" cm="1" t="str">
        <f t="array" ref="R76">IF(C76="","",ROUND(Q76/1000000,3)&amp;" M€")</f>
        <v/>
      </c>
      <c r="S76" s="15">
</c>
      <c r="T76" s="6" cm="1" t="str">
        <f t="array" ref="T76">IF(C76="","",SUBSTITUTE(S76,"","")&amp;"%")</f>
        <v/>
      </c>
      <c r="U76" s="12" cm="1" t="str">
        <f t="array" ref="U76">IF(($N76="")*($P76=""),"",IF(($N76&lt;&gt;"")*($N76&gt;TODAY()-9)*($N76&lt;TODAY()+1)*($P76&lt;&gt;"")*($P76&gt;=TODAY())*($P76&lt;=TODAY()+13),"Semaine passée &amp; à venir",IF(($N76&lt;&gt;"")*($N76&gt;TODAY()-9)*($N76&lt;TODAY()+1),"Semaine passée",IF(($P76&lt;&gt;"")*($P76&gt;=TODAY())*($P76&lt;=TODAY()+13),"À venir","Autre"))))</f>
        <v/>
      </c>
      <c r="V76" s="5" cm="1" t="n">
        <f t="array" ref="V76">IF(C76&lt;&gt;"",1,0)</f>
        <v>0</v>
      </c>
      <c r="W76" s="5">
</c>
      <c r="X76" s="5">
</c>
      <c r="Y76" s="5">
</c>
      <c r="Z76" s="5">
</c>
      <c r="AA76" s="5">
</c>
      <c r="AB76" s="5">
</c>
      <c r="AC76" s="5">
</c>
      <c r="AD76" s="5">
</c>
      <c r="AE76" s="5">
</c>
      <c r="AF76" s="5">
</c>
      <c r="AG76" s="5">
</c>
      <c r="AH76" s="5">
</c>
      <c r="AI76" s="5">
</c>
      <c r="AJ76" s="5">
</c>
      <c r="AK76" s="5">
</c>
    </row>
    <row r="77" ht="65.25" customHeight="1">
      <c r="A77" s="6">
</c>
      <c r="B77" s="6">
</c>
      <c r="C77" s="11">
</c>
      <c r="D77" s="11">
</c>
      <c r="E77" s="6">
</c>
      <c r="F77" s="6">
</c>
      <c r="G77" s="6" cm="1" t="str">
        <f t="array" ref="G77">IF(F77="","",SUBSTITUTE(SUBSTITUTE(SUBSTITUTE(SUBSTITUTE(F77,"&lt;li&gt;",CHAR(10)),"&lt;/li&gt;",""),"&lt;br&gt;",CHAR(10)),"&lt;strong&gt;",""))</f>
        <v/>
      </c>
      <c r="H77" s="6" cm="1" t="str">
        <f t="array" ref="H77">IF(G77="","",SUBSTITUTE(SUBSTITUTE(SUBSTITUTE(SUBSTITUTE(SUBSTITUTE(G77,"&lt;p&gt;",""),"&lt;/p&gt;",""),"&lt;ul&gt;",""),"&lt;/ul&gt;",""),"&lt;/strong&gt;",""))</f>
        <v/>
      </c>
      <c r="I77" s="12" cm="1" t="str">
        <f t="array" ref="I77">IF(C77="","",IF(OR(H77="",H77=0,H77=FALSE),"-",H77))</f>
        <v/>
      </c>
      <c r="J77" s="6">
</c>
      <c r="K77" s="6">
</c>
      <c r="L77" s="6" cm="1" t="str">
        <f t="array" ref="L77">IF(C77="","",IF(K77="Mort / Plus rien à faire","KO","OK"))</f>
        <v/>
      </c>
      <c r="M77" s="13">
</c>
      <c r="N77" s="13" cm="1" t="str">
        <f t="array" ref="N77">IF(OR(C77="",M77="",M77=0),"",M77)</f>
        <v/>
      </c>
      <c r="O77" s="13">
</c>
      <c r="P77" s="13" cm="1" t="str">
        <f t="array" ref="P77">IF(C77="","",IF(OR(O77="",O77=0),"-",O77))</f>
        <v/>
      </c>
      <c r="Q77" s="14">
</c>
      <c r="R77" s="6" cm="1" t="str">
        <f t="array" ref="R77">IF(C77="","",ROUND(Q77/1000000,3)&amp;" M€")</f>
        <v/>
      </c>
      <c r="S77" s="15">
</c>
      <c r="T77" s="6" cm="1" t="str">
        <f t="array" ref="T77">IF(C77="","",SUBSTITUTE(S77,"","")&amp;"%")</f>
        <v/>
      </c>
      <c r="U77" s="12" cm="1" t="str">
        <f t="array" ref="U77">IF(($N77="")*($P77=""),"",IF(($N77&lt;&gt;"")*($N77&gt;TODAY()-9)*($N77&lt;TODAY()+1)*($P77&lt;&gt;"")*($P77&gt;=TODAY())*($P77&lt;=TODAY()+13),"Semaine passée &amp; à venir",IF(($N77&lt;&gt;"")*($N77&gt;TODAY()-9)*($N77&lt;TODAY()+1),"Semaine passée",IF(($P77&lt;&gt;"")*($P77&gt;=TODAY())*($P77&lt;=TODAY()+13),"À venir","Autre"))))</f>
        <v/>
      </c>
      <c r="V77" s="5" cm="1" t="n">
        <f t="array" ref="V77">IF(C77&lt;&gt;"",1,0)</f>
        <v>0</v>
      </c>
      <c r="W77" s="5">
</c>
      <c r="X77" s="5">
</c>
      <c r="Y77" s="5">
</c>
      <c r="Z77" s="5">
</c>
      <c r="AA77" s="5">
</c>
      <c r="AB77" s="5">
</c>
      <c r="AC77" s="5">
</c>
      <c r="AD77" s="5">
</c>
      <c r="AE77" s="5">
</c>
      <c r="AF77" s="5">
</c>
      <c r="AG77" s="5">
</c>
      <c r="AH77" s="5">
</c>
      <c r="AI77" s="5">
</c>
      <c r="AJ77" s="5">
</c>
      <c r="AK77" s="5">
</c>
    </row>
    <row r="78" ht="65.25" customHeight="1">
      <c r="A78" s="6">
</c>
      <c r="B78" s="6">
</c>
      <c r="C78" s="11">
</c>
      <c r="D78" s="11">
</c>
      <c r="E78" s="6">
</c>
      <c r="F78" s="6">
</c>
      <c r="G78" s="6" cm="1" t="str">
        <f t="array" ref="G78">IF(F78="","",SUBSTITUTE(SUBSTITUTE(SUBSTITUTE(SUBSTITUTE(F78,"&lt;li&gt;",CHAR(10)),"&lt;/li&gt;",""),"&lt;br&gt;",CHAR(10)),"&lt;strong&gt;",""))</f>
        <v/>
      </c>
      <c r="H78" s="6" cm="1" t="str">
        <f t="array" ref="H78">IF(G78="","",SUBSTITUTE(SUBSTITUTE(SUBSTITUTE(SUBSTITUTE(SUBSTITUTE(G78,"&lt;p&gt;",""),"&lt;/p&gt;",""),"&lt;ul&gt;",""),"&lt;/ul&gt;",""),"&lt;/strong&gt;",""))</f>
        <v/>
      </c>
      <c r="I78" s="12" cm="1" t="str">
        <f t="array" ref="I78">IF(C78="","",IF(OR(H78="",H78=0,H78=FALSE),"-",H78))</f>
        <v/>
      </c>
      <c r="J78" s="6">
</c>
      <c r="K78" s="6">
</c>
      <c r="L78" s="6" cm="1" t="str">
        <f t="array" ref="L78">IF(C78="","",IF(K78="Mort / Plus rien à faire","KO","OK"))</f>
        <v/>
      </c>
      <c r="M78" s="13">
</c>
      <c r="N78" s="13" cm="1" t="str">
        <f t="array" ref="N78">IF(OR(C78="",M78="",M78=0),"",M78)</f>
        <v/>
      </c>
      <c r="O78" s="13">
</c>
      <c r="P78" s="13" cm="1" t="str">
        <f t="array" ref="P78">IF(C78="","",IF(OR(O78="",O78=0),"-",O78))</f>
        <v/>
      </c>
      <c r="Q78" s="14">
</c>
      <c r="R78" s="6" cm="1" t="str">
        <f t="array" ref="R78">IF(C78="","",ROUND(Q78/1000000,3)&amp;" M€")</f>
        <v/>
      </c>
      <c r="S78" s="15">
</c>
      <c r="T78" s="6" cm="1" t="str">
        <f t="array" ref="T78">IF(C78="","",SUBSTITUTE(S78,"","")&amp;"%")</f>
        <v/>
      </c>
      <c r="U78" s="12" cm="1" t="str">
        <f t="array" ref="U78">IF(($N78="")*($P78=""),"",IF(($N78&lt;&gt;"")*($N78&gt;TODAY()-9)*($N78&lt;TODAY()+1)*($P78&lt;&gt;"")*($P78&gt;=TODAY())*($P78&lt;=TODAY()+13),"Semaine passée &amp; à venir",IF(($N78&lt;&gt;"")*($N78&gt;TODAY()-9)*($N78&lt;TODAY()+1),"Semaine passée",IF(($P78&lt;&gt;"")*($P78&gt;=TODAY())*($P78&lt;=TODAY()+13),"À venir","Autre"))))</f>
        <v/>
      </c>
      <c r="V78" s="5" cm="1" t="n">
        <f t="array" ref="V78">IF(C78&lt;&gt;"",1,0)</f>
        <v>0</v>
      </c>
      <c r="W78" s="5">
</c>
      <c r="X78" s="5">
</c>
      <c r="Y78" s="5">
</c>
      <c r="Z78" s="5">
</c>
      <c r="AA78" s="5">
</c>
      <c r="AB78" s="5">
</c>
      <c r="AC78" s="5">
</c>
      <c r="AD78" s="5">
</c>
      <c r="AE78" s="5">
</c>
      <c r="AF78" s="5">
</c>
      <c r="AG78" s="5">
</c>
      <c r="AH78" s="5">
</c>
      <c r="AI78" s="5">
</c>
      <c r="AJ78" s="5">
</c>
      <c r="AK78" s="5">
</c>
    </row>
    <row r="79" ht="65.25" customHeight="1">
      <c r="A79" s="6">
</c>
      <c r="B79" s="6">
</c>
      <c r="C79" s="11">
</c>
      <c r="D79" s="11">
</c>
      <c r="E79" s="6">
</c>
      <c r="F79" s="6">
</c>
      <c r="G79" s="6" cm="1" t="str">
        <f t="array" ref="G79">IF(F79="","",SUBSTITUTE(SUBSTITUTE(SUBSTITUTE(SUBSTITUTE(F79,"&lt;li&gt;",CHAR(10)),"&lt;/li&gt;",""),"&lt;br&gt;",CHAR(10)),"&lt;strong&gt;",""))</f>
        <v/>
      </c>
      <c r="H79" s="6" cm="1" t="str">
        <f t="array" ref="H79">IF(G79="","",SUBSTITUTE(SUBSTITUTE(SUBSTITUTE(SUBSTITUTE(SUBSTITUTE(G79,"&lt;p&gt;",""),"&lt;/p&gt;",""),"&lt;ul&gt;",""),"&lt;/ul&gt;",""),"&lt;/strong&gt;",""))</f>
        <v/>
      </c>
      <c r="I79" s="12" cm="1" t="str">
        <f t="array" ref="I79">IF(C79="","",IF(OR(H79="",H79=0,H79=FALSE),"-",H79))</f>
        <v/>
      </c>
      <c r="J79" s="6">
</c>
      <c r="K79" s="6">
</c>
      <c r="L79" s="6" cm="1" t="str">
        <f t="array" ref="L79">IF(C79="","",IF(K79="Mort / Plus rien à faire","KO","OK"))</f>
        <v/>
      </c>
      <c r="M79" s="13">
</c>
      <c r="N79" s="13" cm="1" t="str">
        <f t="array" ref="N79">IF(OR(C79="",M79="",M79=0),"",M79)</f>
        <v/>
      </c>
      <c r="O79" s="13">
</c>
      <c r="P79" s="13" cm="1" t="str">
        <f t="array" ref="P79">IF(C79="","",IF(OR(O79="",O79=0),"-",O79))</f>
        <v/>
      </c>
      <c r="Q79" s="14">
</c>
      <c r="R79" s="6" cm="1" t="str">
        <f t="array" ref="R79">IF(C79="","",ROUND(Q79/1000000,3)&amp;" M€")</f>
        <v/>
      </c>
      <c r="S79" s="15">
</c>
      <c r="T79" s="6" cm="1" t="str">
        <f t="array" ref="T79">IF(C79="","",SUBSTITUTE(S79,"","")&amp;"%")</f>
        <v/>
      </c>
      <c r="U79" s="12" cm="1" t="str">
        <f t="array" ref="U79">IF(($N79="")*($P79=""),"",IF(($N79&lt;&gt;"")*($N79&gt;TODAY()-9)*($N79&lt;TODAY()+1)*($P79&lt;&gt;"")*($P79&gt;=TODAY())*($P79&lt;=TODAY()+13),"Semaine passée &amp; à venir",IF(($N79&lt;&gt;"")*($N79&gt;TODAY()-9)*($N79&lt;TODAY()+1),"Semaine passée",IF(($P79&lt;&gt;"")*($P79&gt;=TODAY())*($P79&lt;=TODAY()+13),"À venir","Autre"))))</f>
        <v/>
      </c>
      <c r="V79" s="5" cm="1" t="n">
        <f t="array" ref="V79">IF(C79&lt;&gt;"",1,0)</f>
        <v>0</v>
      </c>
      <c r="W79" s="5">
</c>
      <c r="X79" s="5">
</c>
      <c r="Y79" s="5">
</c>
      <c r="Z79" s="5">
</c>
      <c r="AA79" s="5">
</c>
      <c r="AB79" s="5">
</c>
      <c r="AC79" s="5">
</c>
      <c r="AD79" s="5">
</c>
      <c r="AE79" s="5">
</c>
      <c r="AF79" s="5">
</c>
      <c r="AG79" s="5">
</c>
      <c r="AH79" s="5">
</c>
      <c r="AI79" s="5">
</c>
      <c r="AJ79" s="5">
</c>
      <c r="AK79" s="5">
</c>
    </row>
    <row r="80" ht="65.25" customHeight="1">
      <c r="A80" s="6">
</c>
      <c r="B80" s="6">
</c>
      <c r="C80" s="11">
</c>
      <c r="D80" s="11">
</c>
      <c r="E80" s="6">
</c>
      <c r="F80" s="6">
</c>
      <c r="G80" s="6" cm="1" t="str">
        <f t="array" ref="G80">IF(F80="","",SUBSTITUTE(SUBSTITUTE(SUBSTITUTE(SUBSTITUTE(F80,"&lt;li&gt;",CHAR(10)),"&lt;/li&gt;",""),"&lt;br&gt;",CHAR(10)),"&lt;strong&gt;",""))</f>
        <v/>
      </c>
      <c r="H80" s="6" cm="1" t="str">
        <f t="array" ref="H80">IF(G80="","",SUBSTITUTE(SUBSTITUTE(SUBSTITUTE(SUBSTITUTE(SUBSTITUTE(G80,"&lt;p&gt;",""),"&lt;/p&gt;",""),"&lt;ul&gt;",""),"&lt;/ul&gt;",""),"&lt;/strong&gt;",""))</f>
        <v/>
      </c>
      <c r="I80" s="12" cm="1" t="str">
        <f t="array" ref="I80">IF(C80="","",IF(OR(H80="",H80=0,H80=FALSE),"-",H80))</f>
        <v/>
      </c>
      <c r="J80" s="6">
</c>
      <c r="K80" s="6">
</c>
      <c r="L80" s="6" cm="1" t="str">
        <f t="array" ref="L80">IF(C80="","",IF(K80="Mort / Plus rien à faire","KO","OK"))</f>
        <v/>
      </c>
      <c r="M80" s="13">
</c>
      <c r="N80" s="13" cm="1" t="str">
        <f t="array" ref="N80">IF(OR(C80="",M80="",M80=0),"",M80)</f>
        <v/>
      </c>
      <c r="O80" s="13">
</c>
      <c r="P80" s="13" cm="1" t="str">
        <f t="array" ref="P80">IF(C80="","",IF(OR(O80="",O80=0),"-",O80))</f>
        <v/>
      </c>
      <c r="Q80" s="14">
</c>
      <c r="R80" s="6" cm="1" t="str">
        <f t="array" ref="R80">IF(C80="","",ROUND(Q80/1000000,3)&amp;" M€")</f>
        <v/>
      </c>
      <c r="S80" s="15">
</c>
      <c r="T80" s="6" cm="1" t="str">
        <f t="array" ref="T80">IF(C80="","",SUBSTITUTE(S80,"","")&amp;"%")</f>
        <v/>
      </c>
      <c r="U80" s="12" cm="1" t="str">
        <f t="array" ref="U80">IF(($N80="")*($P80=""),"",IF(($N80&lt;&gt;"")*($N80&gt;TODAY()-9)*($N80&lt;TODAY()+1)*($P80&lt;&gt;"")*($P80&gt;=TODAY())*($P80&lt;=TODAY()+13),"Semaine passée &amp; à venir",IF(($N80&lt;&gt;"")*($N80&gt;TODAY()-9)*($N80&lt;TODAY()+1),"Semaine passée",IF(($P80&lt;&gt;"")*($P80&gt;=TODAY())*($P80&lt;=TODAY()+13),"À venir","Autre"))))</f>
        <v/>
      </c>
      <c r="V80" s="5" cm="1" t="n">
        <f t="array" ref="V80">IF(C80&lt;&gt;"",1,0)</f>
        <v>0</v>
      </c>
      <c r="W80" s="5">
</c>
      <c r="X80" s="5">
</c>
      <c r="Y80" s="5">
</c>
      <c r="Z80" s="5">
</c>
      <c r="AA80" s="5">
</c>
      <c r="AB80" s="5">
</c>
      <c r="AC80" s="5">
</c>
      <c r="AD80" s="5">
</c>
      <c r="AE80" s="5">
</c>
      <c r="AF80" s="5">
</c>
      <c r="AG80" s="5">
</c>
      <c r="AH80" s="5">
</c>
      <c r="AI80" s="5">
</c>
      <c r="AJ80" s="5">
</c>
      <c r="AK80" s="5">
</c>
    </row>
    <row r="81" ht="65.25" customHeight="1">
      <c r="A81" s="6">
</c>
      <c r="B81" s="6">
</c>
      <c r="C81" s="11">
</c>
      <c r="D81" s="11">
</c>
      <c r="E81" s="6">
</c>
      <c r="F81" s="6">
</c>
      <c r="G81" s="6" cm="1" t="str">
        <f t="array" ref="G81">IF(F81="","",SUBSTITUTE(SUBSTITUTE(SUBSTITUTE(SUBSTITUTE(F81,"&lt;li&gt;",CHAR(10)),"&lt;/li&gt;",""),"&lt;br&gt;",CHAR(10)),"&lt;strong&gt;",""))</f>
        <v/>
      </c>
      <c r="H81" s="6" cm="1" t="str">
        <f t="array" ref="H81">IF(G81="","",SUBSTITUTE(SUBSTITUTE(SUBSTITUTE(SUBSTITUTE(SUBSTITUTE(G81,"&lt;p&gt;",""),"&lt;/p&gt;",""),"&lt;ul&gt;",""),"&lt;/ul&gt;",""),"&lt;/strong&gt;",""))</f>
        <v/>
      </c>
      <c r="I81" s="12" cm="1" t="str">
        <f t="array" ref="I81">IF(C81="","",IF(OR(H81="",H81=0,H81=FALSE),"-",H81))</f>
        <v/>
      </c>
      <c r="J81" s="6">
</c>
      <c r="K81" s="6">
</c>
      <c r="L81" s="6" cm="1" t="str">
        <f t="array" ref="L81">IF(C81="","",IF(K81="Mort / Plus rien à faire","KO","OK"))</f>
        <v/>
      </c>
      <c r="M81" s="13">
</c>
      <c r="N81" s="13" cm="1" t="str">
        <f t="array" ref="N81">IF(OR(C81="",M81="",M81=0),"",M81)</f>
        <v/>
      </c>
      <c r="O81" s="13">
</c>
      <c r="P81" s="13" cm="1" t="str">
        <f t="array" ref="P81">IF(C81="","",IF(OR(O81="",O81=0),"-",O81))</f>
        <v/>
      </c>
      <c r="Q81" s="14">
</c>
      <c r="R81" s="6" cm="1" t="str">
        <f t="array" ref="R81">IF(C81="","",ROUND(Q81/1000000,3)&amp;" M€")</f>
        <v/>
      </c>
      <c r="S81" s="15">
</c>
      <c r="T81" s="6" cm="1" t="str">
        <f t="array" ref="T81">IF(C81="","",SUBSTITUTE(S81,"","")&amp;"%")</f>
        <v/>
      </c>
      <c r="U81" s="12" cm="1" t="str">
        <f t="array" ref="U81">IF(($N81="")*($P81=""),"",IF(($N81&lt;&gt;"")*($N81&gt;TODAY()-9)*($N81&lt;TODAY()+1)*($P81&lt;&gt;"")*($P81&gt;=TODAY())*($P81&lt;=TODAY()+13),"Semaine passée &amp; à venir",IF(($N81&lt;&gt;"")*($N81&gt;TODAY()-9)*($N81&lt;TODAY()+1),"Semaine passée",IF(($P81&lt;&gt;"")*($P81&gt;=TODAY())*($P81&lt;=TODAY()+13),"À venir","Autre"))))</f>
        <v/>
      </c>
      <c r="V81" s="5" cm="1" t="n">
        <f t="array" ref="V81">IF(C81&lt;&gt;"",1,0)</f>
        <v>0</v>
      </c>
      <c r="W81" s="5">
</c>
      <c r="X81" s="5">
</c>
      <c r="Y81" s="5">
</c>
      <c r="Z81" s="5">
</c>
      <c r="AA81" s="5">
</c>
      <c r="AB81" s="5">
</c>
      <c r="AC81" s="5">
</c>
      <c r="AD81" s="5">
</c>
      <c r="AE81" s="5">
</c>
      <c r="AF81" s="5">
</c>
      <c r="AG81" s="5">
</c>
      <c r="AH81" s="5">
</c>
      <c r="AI81" s="5">
</c>
      <c r="AJ81" s="5">
</c>
      <c r="AK81" s="5">
</c>
    </row>
    <row r="82" ht="65.25" customHeight="1">
      <c r="A82" s="6">
</c>
      <c r="B82" s="6">
</c>
      <c r="C82" s="11">
</c>
      <c r="D82" s="11">
</c>
      <c r="E82" s="6">
</c>
      <c r="F82" s="6">
</c>
      <c r="G82" s="6" cm="1" t="str">
        <f t="array" ref="G82">IF(F82="","",SUBSTITUTE(SUBSTITUTE(SUBSTITUTE(SUBSTITUTE(F82,"&lt;li&gt;",CHAR(10)),"&lt;/li&gt;",""),"&lt;br&gt;",CHAR(10)),"&lt;strong&gt;",""))</f>
        <v/>
      </c>
      <c r="H82" s="6" cm="1" t="str">
        <f t="array" ref="H82">IF(G82="","",SUBSTITUTE(SUBSTITUTE(SUBSTITUTE(SUBSTITUTE(SUBSTITUTE(G82,"&lt;p&gt;",""),"&lt;/p&gt;",""),"&lt;ul&gt;",""),"&lt;/ul&gt;",""),"&lt;/strong&gt;",""))</f>
        <v/>
      </c>
      <c r="I82" s="12" cm="1" t="str">
        <f t="array" ref="I82">IF(C82="","",IF(OR(H82="",H82=0,H82=FALSE),"-",H82))</f>
        <v/>
      </c>
      <c r="J82" s="6">
</c>
      <c r="K82" s="6">
</c>
      <c r="L82" s="6" cm="1" t="str">
        <f t="array" ref="L82">IF(C82="","",IF(K82="Mort / Plus rien à faire","KO","OK"))</f>
        <v/>
      </c>
      <c r="M82" s="13">
</c>
      <c r="N82" s="13" cm="1" t="str">
        <f t="array" ref="N82">IF(OR(C82="",M82="",M82=0),"",M82)</f>
        <v/>
      </c>
      <c r="O82" s="13">
</c>
      <c r="P82" s="13" cm="1" t="str">
        <f t="array" ref="P82">IF(C82="","",IF(OR(O82="",O82=0),"-",O82))</f>
        <v/>
      </c>
      <c r="Q82" s="14">
</c>
      <c r="R82" s="6" cm="1" t="str">
        <f t="array" ref="R82">IF(C82="","",ROUND(Q82/1000000,3)&amp;" M€")</f>
        <v/>
      </c>
      <c r="S82" s="15">
</c>
      <c r="T82" s="6" cm="1" t="str">
        <f t="array" ref="T82">IF(C82="","",SUBSTITUTE(S82,"","")&amp;"%")</f>
        <v/>
      </c>
      <c r="U82" s="12" cm="1" t="str">
        <f t="array" ref="U82">IF(($N82="")*($P82=""),"",IF(($N82&lt;&gt;"")*($N82&gt;TODAY()-9)*($N82&lt;TODAY()+1)*($P82&lt;&gt;"")*($P82&gt;=TODAY())*($P82&lt;=TODAY()+13),"Semaine passée &amp; à venir",IF(($N82&lt;&gt;"")*($N82&gt;TODAY()-9)*($N82&lt;TODAY()+1),"Semaine passée",IF(($P82&lt;&gt;"")*($P82&gt;=TODAY())*($P82&lt;=TODAY()+13),"À venir","Autre"))))</f>
        <v/>
      </c>
      <c r="V82" s="5" cm="1" t="n">
        <f t="array" ref="V82">IF(C82&lt;&gt;"",1,0)</f>
        <v>0</v>
      </c>
      <c r="W82" s="5">
</c>
      <c r="X82" s="5">
</c>
      <c r="Y82" s="5">
</c>
      <c r="Z82" s="5">
</c>
      <c r="AA82" s="5">
</c>
      <c r="AB82" s="5">
</c>
      <c r="AC82" s="5">
</c>
      <c r="AD82" s="5">
</c>
      <c r="AE82" s="5">
</c>
      <c r="AF82" s="5">
</c>
      <c r="AG82" s="5">
</c>
      <c r="AH82" s="5">
</c>
      <c r="AI82" s="5">
</c>
      <c r="AJ82" s="5">
</c>
      <c r="AK82" s="5">
</c>
    </row>
    <row r="83" ht="65.25" customHeight="1">
      <c r="A83" s="6">
</c>
      <c r="B83" s="6">
</c>
      <c r="C83" s="11">
</c>
      <c r="D83" s="11">
</c>
      <c r="E83" s="6">
</c>
      <c r="F83" s="6">
</c>
      <c r="G83" s="6" cm="1" t="str">
        <f t="array" ref="G83">IF(F83="","",SUBSTITUTE(SUBSTITUTE(SUBSTITUTE(SUBSTITUTE(F83,"&lt;li&gt;",CHAR(10)),"&lt;/li&gt;",""),"&lt;br&gt;",CHAR(10)),"&lt;strong&gt;",""))</f>
        <v/>
      </c>
      <c r="H83" s="6" cm="1" t="str">
        <f t="array" ref="H83">IF(G83="","",SUBSTITUTE(SUBSTITUTE(SUBSTITUTE(SUBSTITUTE(SUBSTITUTE(G83,"&lt;p&gt;",""),"&lt;/p&gt;",""),"&lt;ul&gt;",""),"&lt;/ul&gt;",""),"&lt;/strong&gt;",""))</f>
        <v/>
      </c>
      <c r="I83" s="12" cm="1" t="str">
        <f t="array" ref="I83">IF(C83="","",IF(OR(H83="",H83=0,H83=FALSE),"-",H83))</f>
        <v/>
      </c>
      <c r="J83" s="6">
</c>
      <c r="K83" s="6">
</c>
      <c r="L83" s="6" cm="1" t="str">
        <f t="array" ref="L83">IF(C83="","",IF(K83="Mort / Plus rien à faire","KO","OK"))</f>
        <v/>
      </c>
      <c r="M83" s="13">
</c>
      <c r="N83" s="13" cm="1" t="str">
        <f t="array" ref="N83">IF(OR(C83="",M83="",M83=0),"",M83)</f>
        <v/>
      </c>
      <c r="O83" s="13">
</c>
      <c r="P83" s="13" cm="1" t="str">
        <f t="array" ref="P83">IF(C83="","",IF(OR(O83="",O83=0),"-",O83))</f>
        <v/>
      </c>
      <c r="Q83" s="14">
</c>
      <c r="R83" s="6" cm="1" t="str">
        <f t="array" ref="R83">IF(C83="","",ROUND(Q83/1000000,3)&amp;" M€")</f>
        <v/>
      </c>
      <c r="S83" s="15">
</c>
      <c r="T83" s="6" cm="1" t="str">
        <f t="array" ref="T83">IF(C83="","",SUBSTITUTE(S83,"","")&amp;"%")</f>
        <v/>
      </c>
      <c r="U83" s="12" cm="1" t="str">
        <f t="array" ref="U83">IF(($N83="")*($P83=""),"",IF(($N83&lt;&gt;"")*($N83&gt;TODAY()-9)*($N83&lt;TODAY()+1)*($P83&lt;&gt;"")*($P83&gt;=TODAY())*($P83&lt;=TODAY()+13),"Semaine passée &amp; à venir",IF(($N83&lt;&gt;"")*($N83&gt;TODAY()-9)*($N83&lt;TODAY()+1),"Semaine passée",IF(($P83&lt;&gt;"")*($P83&gt;=TODAY())*($P83&lt;=TODAY()+13),"À venir","Autre"))))</f>
        <v/>
      </c>
      <c r="V83" s="5" cm="1" t="n">
        <f t="array" ref="V83">IF(C83&lt;&gt;"",1,0)</f>
        <v>0</v>
      </c>
      <c r="W83" s="5">
</c>
      <c r="X83" s="5">
</c>
      <c r="Y83" s="5">
</c>
      <c r="Z83" s="5">
</c>
      <c r="AA83" s="5">
</c>
      <c r="AB83" s="5">
</c>
      <c r="AC83" s="5">
</c>
      <c r="AD83" s="5">
</c>
      <c r="AE83" s="5">
</c>
      <c r="AF83" s="5">
</c>
      <c r="AG83" s="5">
</c>
      <c r="AH83" s="5">
</c>
      <c r="AI83" s="5">
</c>
      <c r="AJ83" s="5">
</c>
      <c r="AK83" s="5">
</c>
    </row>
    <row r="84" ht="65.25" customHeight="1">
      <c r="A84" s="6">
</c>
      <c r="B84" s="6">
</c>
      <c r="C84" s="11">
</c>
      <c r="D84" s="11">
</c>
      <c r="E84" s="6">
</c>
      <c r="F84" s="6">
</c>
      <c r="G84" s="6" cm="1" t="str">
        <f t="array" ref="G84">IF(F84="","",SUBSTITUTE(SUBSTITUTE(SUBSTITUTE(SUBSTITUTE(F84,"&lt;li&gt;",CHAR(10)),"&lt;/li&gt;",""),"&lt;br&gt;",CHAR(10)),"&lt;strong&gt;",""))</f>
        <v/>
      </c>
      <c r="H84" s="6" cm="1" t="str">
        <f t="array" ref="H84">IF(G84="","",SUBSTITUTE(SUBSTITUTE(SUBSTITUTE(SUBSTITUTE(SUBSTITUTE(G84,"&lt;p&gt;",""),"&lt;/p&gt;",""),"&lt;ul&gt;",""),"&lt;/ul&gt;",""),"&lt;/strong&gt;",""))</f>
        <v/>
      </c>
      <c r="I84" s="12" cm="1" t="str">
        <f t="array" ref="I84">IF(C84="","",IF(OR(H84="",H84=0,H84=FALSE),"-",H84))</f>
        <v/>
      </c>
      <c r="J84" s="6">
</c>
      <c r="K84" s="6">
</c>
      <c r="L84" s="6" cm="1" t="str">
        <f t="array" ref="L84">IF(C84="","",IF(K84="Mort / Plus rien à faire","KO","OK"))</f>
        <v/>
      </c>
      <c r="M84" s="13">
</c>
      <c r="N84" s="13" cm="1" t="str">
        <f t="array" ref="N84">IF(OR(C84="",M84="",M84=0),"",M84)</f>
        <v/>
      </c>
      <c r="O84" s="13">
</c>
      <c r="P84" s="13" cm="1" t="str">
        <f t="array" ref="P84">IF(C84="","",IF(OR(O84="",O84=0),"-",O84))</f>
        <v/>
      </c>
      <c r="Q84" s="14">
</c>
      <c r="R84" s="6" cm="1" t="str">
        <f t="array" ref="R84">IF(C84="","",ROUND(Q84/1000000,3)&amp;" M€")</f>
        <v/>
      </c>
      <c r="S84" s="15">
</c>
      <c r="T84" s="6" cm="1" t="str">
        <f t="array" ref="T84">IF(C84="","",SUBSTITUTE(S84,"","")&amp;"%")</f>
        <v/>
      </c>
      <c r="U84" s="12" cm="1" t="str">
        <f t="array" ref="U84">IF(($N84="")*($P84=""),"",IF(($N84&lt;&gt;"")*($N84&gt;TODAY()-9)*($N84&lt;TODAY()+1)*($P84&lt;&gt;"")*($P84&gt;=TODAY())*($P84&lt;=TODAY()+13),"Semaine passée &amp; à venir",IF(($N84&lt;&gt;"")*($N84&gt;TODAY()-9)*($N84&lt;TODAY()+1),"Semaine passée",IF(($P84&lt;&gt;"")*($P84&gt;=TODAY())*($P84&lt;=TODAY()+13),"À venir","Autre"))))</f>
        <v/>
      </c>
      <c r="V84" s="5" cm="1" t="n">
        <f t="array" ref="V84">IF(C84&lt;&gt;"",1,0)</f>
        <v>0</v>
      </c>
      <c r="W84" s="5">
</c>
      <c r="X84" s="5">
</c>
      <c r="Y84" s="5">
</c>
      <c r="Z84" s="5">
</c>
      <c r="AA84" s="5">
</c>
      <c r="AB84" s="5">
</c>
      <c r="AC84" s="5">
</c>
      <c r="AD84" s="5">
</c>
      <c r="AE84" s="5">
</c>
      <c r="AF84" s="5">
</c>
      <c r="AG84" s="5">
</c>
      <c r="AH84" s="5">
</c>
      <c r="AI84" s="5">
</c>
      <c r="AJ84" s="5">
</c>
      <c r="AK84" s="5">
</c>
    </row>
    <row r="85" ht="65.25" customHeight="1">
      <c r="A85" s="6">
</c>
      <c r="B85" s="6">
</c>
      <c r="C85" s="11">
</c>
      <c r="D85" s="11">
</c>
      <c r="E85" s="6">
</c>
      <c r="F85" s="6">
</c>
      <c r="G85" s="6" cm="1" t="str">
        <f t="array" ref="G85">IF(F85="","",SUBSTITUTE(SUBSTITUTE(SUBSTITUTE(SUBSTITUTE(F85,"&lt;li&gt;",CHAR(10)),"&lt;/li&gt;",""),"&lt;br&gt;",CHAR(10)),"&lt;strong&gt;",""))</f>
        <v/>
      </c>
      <c r="H85" s="6" cm="1" t="str">
        <f t="array" ref="H85">IF(G85="","",SUBSTITUTE(SUBSTITUTE(SUBSTITUTE(SUBSTITUTE(SUBSTITUTE(G85,"&lt;p&gt;",""),"&lt;/p&gt;",""),"&lt;ul&gt;",""),"&lt;/ul&gt;",""),"&lt;/strong&gt;",""))</f>
        <v/>
      </c>
      <c r="I85" s="12" cm="1" t="str">
        <f t="array" ref="I85">IF(C85="","",IF(OR(H85="",H85=0,H85=FALSE),"-",H85))</f>
        <v/>
      </c>
      <c r="J85" s="6">
</c>
      <c r="K85" s="6">
</c>
      <c r="L85" s="6" cm="1" t="str">
        <f t="array" ref="L85">IF(C85="","",IF(K85="Mort / Plus rien à faire","KO","OK"))</f>
        <v/>
      </c>
      <c r="M85" s="13">
</c>
      <c r="N85" s="13" cm="1" t="str">
        <f t="array" ref="N85">IF(OR(C85="",M85="",M85=0),"",M85)</f>
        <v/>
      </c>
      <c r="O85" s="13">
</c>
      <c r="P85" s="13" cm="1" t="str">
        <f t="array" ref="P85">IF(C85="","",IF(OR(O85="",O85=0),"-",O85))</f>
        <v/>
      </c>
      <c r="Q85" s="14">
</c>
      <c r="R85" s="6" cm="1" t="str">
        <f t="array" ref="R85">IF(C85="","",ROUND(Q85/1000000,3)&amp;" M€")</f>
        <v/>
      </c>
      <c r="S85" s="15">
</c>
      <c r="T85" s="6" cm="1" t="str">
        <f t="array" ref="T85">IF(C85="","",SUBSTITUTE(S85,"","")&amp;"%")</f>
        <v/>
      </c>
      <c r="U85" s="12" cm="1" t="str">
        <f t="array" ref="U85">IF(($N85="")*($P85=""),"",IF(($N85&lt;&gt;"")*($N85&gt;TODAY()-9)*($N85&lt;TODAY()+1)*($P85&lt;&gt;"")*($P85&gt;=TODAY())*($P85&lt;=TODAY()+13),"Semaine passée &amp; à venir",IF(($N85&lt;&gt;"")*($N85&gt;TODAY()-9)*($N85&lt;TODAY()+1),"Semaine passée",IF(($P85&lt;&gt;"")*($P85&gt;=TODAY())*($P85&lt;=TODAY()+13),"À venir","Autre"))))</f>
        <v/>
      </c>
      <c r="V85" s="5" cm="1" t="n">
        <f t="array" ref="V85">IF(C85&lt;&gt;"",1,0)</f>
        <v>0</v>
      </c>
      <c r="W85" s="5">
</c>
      <c r="X85" s="5">
</c>
      <c r="Y85" s="5">
</c>
      <c r="Z85" s="5">
</c>
      <c r="AA85" s="5">
</c>
      <c r="AB85" s="5">
</c>
      <c r="AC85" s="5">
</c>
      <c r="AD85" s="5">
</c>
      <c r="AE85" s="5">
</c>
      <c r="AF85" s="5">
</c>
      <c r="AG85" s="5">
</c>
      <c r="AH85" s="5">
</c>
      <c r="AI85" s="5">
</c>
      <c r="AJ85" s="5">
</c>
      <c r="AK85" s="5">
</c>
    </row>
    <row r="86" ht="65.25" customHeight="1">
      <c r="A86" s="6">
</c>
      <c r="B86" s="6">
</c>
      <c r="C86" s="11">
</c>
      <c r="D86" s="11">
</c>
      <c r="E86" s="6">
</c>
      <c r="F86" s="6">
</c>
      <c r="G86" s="6" cm="1" t="str">
        <f t="array" ref="G86">IF(F86="","",SUBSTITUTE(SUBSTITUTE(SUBSTITUTE(SUBSTITUTE(F86,"&lt;li&gt;",CHAR(10)),"&lt;/li&gt;",""),"&lt;br&gt;",CHAR(10)),"&lt;strong&gt;",""))</f>
        <v/>
      </c>
      <c r="H86" s="6" cm="1" t="str">
        <f t="array" ref="H86">IF(G86="","",SUBSTITUTE(SUBSTITUTE(SUBSTITUTE(SUBSTITUTE(SUBSTITUTE(G86,"&lt;p&gt;",""),"&lt;/p&gt;",""),"&lt;ul&gt;",""),"&lt;/ul&gt;",""),"&lt;/strong&gt;",""))</f>
        <v/>
      </c>
      <c r="I86" s="12" cm="1" t="str">
        <f t="array" ref="I86">IF(C86="","",IF(OR(H86="",H86=0,H86=FALSE),"-",H86))</f>
        <v/>
      </c>
      <c r="J86" s="6">
</c>
      <c r="K86" s="6">
</c>
      <c r="L86" s="6" cm="1" t="str">
        <f t="array" ref="L86">IF(C86="","",IF(K86="Mort / Plus rien à faire","KO","OK"))</f>
        <v/>
      </c>
      <c r="M86" s="13">
</c>
      <c r="N86" s="13" cm="1" t="str">
        <f t="array" ref="N86">IF(OR(C86="",M86="",M86=0),"",M86)</f>
        <v/>
      </c>
      <c r="O86" s="13">
</c>
      <c r="P86" s="13" cm="1" t="str">
        <f t="array" ref="P86">IF(C86="","",IF(OR(O86="",O86=0),"-",O86))</f>
        <v/>
      </c>
      <c r="Q86" s="14">
</c>
      <c r="R86" s="6" cm="1" t="str">
        <f t="array" ref="R86">IF(C86="","",ROUND(Q86/1000000,3)&amp;" M€")</f>
        <v/>
      </c>
      <c r="S86" s="15">
</c>
      <c r="T86" s="6" cm="1" t="str">
        <f t="array" ref="T86">IF(C86="","",SUBSTITUTE(S86,"","")&amp;"%")</f>
        <v/>
      </c>
      <c r="U86" s="12" cm="1" t="str">
        <f t="array" ref="U86">IF(($N86="")*($P86=""),"",IF(($N86&lt;&gt;"")*($N86&gt;TODAY()-9)*($N86&lt;TODAY()+1)*($P86&lt;&gt;"")*($P86&gt;=TODAY())*($P86&lt;=TODAY()+13),"Semaine passée &amp; à venir",IF(($N86&lt;&gt;"")*($N86&gt;TODAY()-9)*($N86&lt;TODAY()+1),"Semaine passée",IF(($P86&lt;&gt;"")*($P86&gt;=TODAY())*($P86&lt;=TODAY()+13),"À venir","Autre"))))</f>
        <v/>
      </c>
      <c r="V86" s="5" cm="1" t="n">
        <f t="array" ref="V86">IF(C86&lt;&gt;"",1,0)</f>
        <v>0</v>
      </c>
      <c r="W86" s="5">
</c>
      <c r="X86" s="5">
</c>
      <c r="Y86" s="5">
</c>
      <c r="Z86" s="5">
</c>
      <c r="AA86" s="5">
</c>
      <c r="AB86" s="5">
</c>
      <c r="AC86" s="5">
</c>
      <c r="AD86" s="5">
</c>
      <c r="AE86" s="5">
</c>
      <c r="AF86" s="5">
</c>
      <c r="AG86" s="5">
</c>
      <c r="AH86" s="5">
</c>
      <c r="AI86" s="5">
</c>
      <c r="AJ86" s="5">
</c>
      <c r="AK86" s="5">
</c>
    </row>
    <row r="87" ht="65.25" customHeight="1">
      <c r="A87" s="6">
</c>
      <c r="B87" s="6">
</c>
      <c r="C87" s="11">
</c>
      <c r="D87" s="11">
</c>
      <c r="E87" s="6">
</c>
      <c r="F87" s="6">
</c>
      <c r="G87" s="6" cm="1" t="str">
        <f t="array" ref="G87">IF(F87="","",SUBSTITUTE(SUBSTITUTE(SUBSTITUTE(SUBSTITUTE(F87,"&lt;li&gt;",CHAR(10)),"&lt;/li&gt;",""),"&lt;br&gt;",CHAR(10)),"&lt;strong&gt;",""))</f>
        <v/>
      </c>
      <c r="H87" s="6" cm="1" t="str">
        <f t="array" ref="H87">IF(G87="","",SUBSTITUTE(SUBSTITUTE(SUBSTITUTE(SUBSTITUTE(SUBSTITUTE(G87,"&lt;p&gt;",""),"&lt;/p&gt;",""),"&lt;ul&gt;",""),"&lt;/ul&gt;",""),"&lt;/strong&gt;",""))</f>
        <v/>
      </c>
      <c r="I87" s="12" cm="1" t="str">
        <f t="array" ref="I87">IF(C87="","",IF(OR(H87="",H87=0,H87=FALSE),"-",H87))</f>
        <v/>
      </c>
      <c r="J87" s="6">
</c>
      <c r="K87" s="6">
</c>
      <c r="L87" s="6" cm="1" t="str">
        <f t="array" ref="L87">IF(C87="","",IF(K87="Mort / Plus rien à faire","KO","OK"))</f>
        <v/>
      </c>
      <c r="M87" s="13">
</c>
      <c r="N87" s="13" cm="1" t="str">
        <f t="array" ref="N87">IF(OR(C87="",M87="",M87=0),"",M87)</f>
        <v/>
      </c>
      <c r="O87" s="13">
</c>
      <c r="P87" s="13" cm="1" t="str">
        <f t="array" ref="P87">IF(C87="","",IF(OR(O87="",O87=0),"-",O87))</f>
        <v/>
      </c>
      <c r="Q87" s="14">
</c>
      <c r="R87" s="6" cm="1" t="str">
        <f t="array" ref="R87">IF(C87="","",ROUND(Q87/1000000,3)&amp;" M€")</f>
        <v/>
      </c>
      <c r="S87" s="15">
</c>
      <c r="T87" s="6" cm="1" t="str">
        <f t="array" ref="T87">IF(C87="","",SUBSTITUTE(S87,"","")&amp;"%")</f>
        <v/>
      </c>
      <c r="U87" s="12" cm="1" t="str">
        <f t="array" ref="U87">IF(($N87="")*($P87=""),"",IF(($N87&lt;&gt;"")*($N87&gt;TODAY()-9)*($N87&lt;TODAY()+1)*($P87&lt;&gt;"")*($P87&gt;=TODAY())*($P87&lt;=TODAY()+13),"Semaine passée &amp; à venir",IF(($N87&lt;&gt;"")*($N87&gt;TODAY()-9)*($N87&lt;TODAY()+1),"Semaine passée",IF(($P87&lt;&gt;"")*($P87&gt;=TODAY())*($P87&lt;=TODAY()+13),"À venir","Autre"))))</f>
        <v/>
      </c>
      <c r="V87" s="5" cm="1" t="n">
        <f t="array" ref="V87">IF(C87&lt;&gt;"",1,0)</f>
        <v>0</v>
      </c>
      <c r="W87" s="5">
</c>
      <c r="X87" s="5">
</c>
      <c r="Y87" s="5">
</c>
      <c r="Z87" s="5">
</c>
      <c r="AA87" s="5">
</c>
      <c r="AB87" s="5">
</c>
      <c r="AC87" s="5">
</c>
      <c r="AD87" s="5">
</c>
      <c r="AE87" s="5">
</c>
      <c r="AF87" s="5">
</c>
      <c r="AG87" s="5">
</c>
      <c r="AH87" s="5">
</c>
      <c r="AI87" s="5">
</c>
      <c r="AJ87" s="5">
</c>
      <c r="AK87" s="5">
</c>
    </row>
    <row r="88" ht="65.25" customHeight="1">
      <c r="A88" s="6">
</c>
      <c r="B88" s="6">
</c>
      <c r="C88" s="11">
</c>
      <c r="D88" s="11">
</c>
      <c r="E88" s="6">
</c>
      <c r="F88" s="6">
</c>
      <c r="G88" s="6" cm="1" t="str">
        <f t="array" ref="G88">IF(F88="","",SUBSTITUTE(SUBSTITUTE(SUBSTITUTE(SUBSTITUTE(F88,"&lt;li&gt;",CHAR(10)),"&lt;/li&gt;",""),"&lt;br&gt;",CHAR(10)),"&lt;strong&gt;",""))</f>
        <v/>
      </c>
      <c r="H88" s="6" cm="1" t="str">
        <f t="array" ref="H88">IF(G88="","",SUBSTITUTE(SUBSTITUTE(SUBSTITUTE(SUBSTITUTE(SUBSTITUTE(G88,"&lt;p&gt;",""),"&lt;/p&gt;",""),"&lt;ul&gt;",""),"&lt;/ul&gt;",""),"&lt;/strong&gt;",""))</f>
        <v/>
      </c>
      <c r="I88" s="12" cm="1" t="str">
        <f t="array" ref="I88">IF(C88="","",IF(OR(H88="",H88=0,H88=FALSE),"-",H88))</f>
        <v/>
      </c>
      <c r="J88" s="6">
</c>
      <c r="K88" s="6">
</c>
      <c r="L88" s="6" cm="1" t="str">
        <f t="array" ref="L88">IF(C88="","",IF(K88="Mort / Plus rien à faire","KO","OK"))</f>
        <v/>
      </c>
      <c r="M88" s="13">
</c>
      <c r="N88" s="13" cm="1" t="str">
        <f t="array" ref="N88">IF(OR(C88="",M88="",M88=0),"",M88)</f>
        <v/>
      </c>
      <c r="O88" s="13">
</c>
      <c r="P88" s="13" cm="1" t="str">
        <f t="array" ref="P88">IF(C88="","",IF(OR(O88="",O88=0),"-",O88))</f>
        <v/>
      </c>
      <c r="Q88" s="14">
</c>
      <c r="R88" s="6" cm="1" t="str">
        <f t="array" ref="R88">IF(C88="","",ROUND(Q88/1000000,3)&amp;" M€")</f>
        <v/>
      </c>
      <c r="S88" s="15">
</c>
      <c r="T88" s="6" cm="1" t="str">
        <f t="array" ref="T88">IF(C88="","",SUBSTITUTE(S88,"","")&amp;"%")</f>
        <v/>
      </c>
      <c r="U88" s="12" cm="1" t="str">
        <f t="array" ref="U88">IF(($N88="")*($P88=""),"",IF(($N88&lt;&gt;"")*($N88&gt;TODAY()-9)*($N88&lt;TODAY()+1)*($P88&lt;&gt;"")*($P88&gt;=TODAY())*($P88&lt;=TODAY()+13),"Semaine passée &amp; à venir",IF(($N88&lt;&gt;"")*($N88&gt;TODAY()-9)*($N88&lt;TODAY()+1),"Semaine passée",IF(($P88&lt;&gt;"")*($P88&gt;=TODAY())*($P88&lt;=TODAY()+13),"À venir","Autre"))))</f>
        <v/>
      </c>
      <c r="V88" s="5" cm="1" t="n">
        <f t="array" ref="V88">IF(C88&lt;&gt;"",1,0)</f>
        <v>0</v>
      </c>
      <c r="W88" s="5">
</c>
      <c r="X88" s="5">
</c>
      <c r="Y88" s="5">
</c>
      <c r="Z88" s="5">
</c>
      <c r="AA88" s="5">
</c>
      <c r="AB88" s="5">
</c>
      <c r="AC88" s="5">
</c>
      <c r="AD88" s="5">
</c>
      <c r="AE88" s="5">
</c>
      <c r="AF88" s="5">
</c>
      <c r="AG88" s="5">
</c>
      <c r="AH88" s="5">
</c>
      <c r="AI88" s="5">
</c>
      <c r="AJ88" s="5">
</c>
      <c r="AK88" s="5">
</c>
    </row>
    <row r="89" ht="65.25" customHeight="1">
      <c r="A89" s="6">
</c>
      <c r="B89" s="6">
</c>
      <c r="C89" s="11">
</c>
      <c r="D89" s="11">
</c>
      <c r="E89" s="6">
</c>
      <c r="F89" s="6">
</c>
      <c r="G89" s="6" cm="1" t="str">
        <f t="array" ref="G89">IF(F89="","",SUBSTITUTE(SUBSTITUTE(SUBSTITUTE(SUBSTITUTE(F89,"&lt;li&gt;",CHAR(10)),"&lt;/li&gt;",""),"&lt;br&gt;",CHAR(10)),"&lt;strong&gt;",""))</f>
        <v/>
      </c>
      <c r="H89" s="6" cm="1" t="str">
        <f t="array" ref="H89">IF(G89="","",SUBSTITUTE(SUBSTITUTE(SUBSTITUTE(SUBSTITUTE(SUBSTITUTE(G89,"&lt;p&gt;",""),"&lt;/p&gt;",""),"&lt;ul&gt;",""),"&lt;/ul&gt;",""),"&lt;/strong&gt;",""))</f>
        <v/>
      </c>
      <c r="I89" s="12" cm="1" t="str">
        <f t="array" ref="I89">IF(C89="","",IF(OR(H89="",H89=0,H89=FALSE),"-",H89))</f>
        <v/>
      </c>
      <c r="J89" s="6">
</c>
      <c r="K89" s="6">
</c>
      <c r="L89" s="6" cm="1" t="str">
        <f t="array" ref="L89">IF(C89="","",IF(K89="Mort / Plus rien à faire","KO","OK"))</f>
        <v/>
      </c>
      <c r="M89" s="13">
</c>
      <c r="N89" s="13" cm="1" t="str">
        <f t="array" ref="N89">IF(OR(C89="",M89="",M89=0),"",M89)</f>
        <v/>
      </c>
      <c r="O89" s="13">
</c>
      <c r="P89" s="13" cm="1" t="str">
        <f t="array" ref="P89">IF(C89="","",IF(OR(O89="",O89=0),"-",O89))</f>
        <v/>
      </c>
      <c r="Q89" s="14">
</c>
      <c r="R89" s="6" cm="1" t="str">
        <f t="array" ref="R89">IF(C89="","",ROUND(Q89/1000000,3)&amp;" M€")</f>
        <v/>
      </c>
      <c r="S89" s="15">
</c>
      <c r="T89" s="6" cm="1" t="str">
        <f t="array" ref="T89">IF(C89="","",SUBSTITUTE(S89,"","")&amp;"%")</f>
        <v/>
      </c>
      <c r="U89" s="12" cm="1" t="str">
        <f t="array" ref="U89">IF(($N89="")*($P89=""),"",IF(($N89&lt;&gt;"")*($N89&gt;TODAY()-9)*($N89&lt;TODAY()+1)*($P89&lt;&gt;"")*($P89&gt;=TODAY())*($P89&lt;=TODAY()+13),"Semaine passée &amp; à venir",IF(($N89&lt;&gt;"")*($N89&gt;TODAY()-9)*($N89&lt;TODAY()+1),"Semaine passée",IF(($P89&lt;&gt;"")*($P89&gt;=TODAY())*($P89&lt;=TODAY()+13),"À venir","Autre"))))</f>
        <v/>
      </c>
      <c r="V89" s="5" cm="1" t="n">
        <f t="array" ref="V89">IF(C89&lt;&gt;"",1,0)</f>
        <v>0</v>
      </c>
      <c r="W89" s="5">
</c>
      <c r="X89" s="5">
</c>
      <c r="Y89" s="5">
</c>
      <c r="Z89" s="5">
</c>
      <c r="AA89" s="5">
</c>
      <c r="AB89" s="5">
</c>
      <c r="AC89" s="5">
</c>
      <c r="AD89" s="5">
</c>
      <c r="AE89" s="5">
</c>
      <c r="AF89" s="5">
</c>
      <c r="AG89" s="5">
</c>
      <c r="AH89" s="5">
</c>
      <c r="AI89" s="5">
</c>
      <c r="AJ89" s="5">
</c>
      <c r="AK89" s="5">
</c>
    </row>
    <row r="90" ht="65.25" customHeight="1">
      <c r="A90" s="6">
</c>
      <c r="B90" s="6">
</c>
      <c r="C90" s="11">
</c>
      <c r="D90" s="11">
</c>
      <c r="E90" s="6">
</c>
      <c r="F90" s="6">
</c>
      <c r="G90" s="6" cm="1" t="str">
        <f t="array" ref="G90">IF(F90="","",SUBSTITUTE(SUBSTITUTE(SUBSTITUTE(SUBSTITUTE(F90,"&lt;li&gt;",CHAR(10)),"&lt;/li&gt;",""),"&lt;br&gt;",CHAR(10)),"&lt;strong&gt;",""))</f>
        <v/>
      </c>
      <c r="H90" s="6" cm="1" t="str">
        <f t="array" ref="H90">IF(G90="","",SUBSTITUTE(SUBSTITUTE(SUBSTITUTE(SUBSTITUTE(SUBSTITUTE(G90,"&lt;p&gt;",""),"&lt;/p&gt;",""),"&lt;ul&gt;",""),"&lt;/ul&gt;",""),"&lt;/strong&gt;",""))</f>
        <v/>
      </c>
      <c r="I90" s="12" cm="1" t="str">
        <f t="array" ref="I90">IF(C90="","",IF(OR(H90="",H90=0,H90=FALSE),"-",H90))</f>
        <v/>
      </c>
      <c r="J90" s="6">
</c>
      <c r="K90" s="6">
</c>
      <c r="L90" s="6" cm="1" t="str">
        <f t="array" ref="L90">IF(C90="","",IF(K90="Mort / Plus rien à faire","KO","OK"))</f>
        <v/>
      </c>
      <c r="M90" s="13">
</c>
      <c r="N90" s="13" cm="1" t="str">
        <f t="array" ref="N90">IF(OR(C90="",M90="",M90=0),"",M90)</f>
        <v/>
      </c>
      <c r="O90" s="13">
</c>
      <c r="P90" s="13" cm="1" t="str">
        <f t="array" ref="P90">IF(C90="","",IF(OR(O90="",O90=0),"-",O90))</f>
        <v/>
      </c>
      <c r="Q90" s="14">
</c>
      <c r="R90" s="6" cm="1" t="str">
        <f t="array" ref="R90">IF(C90="","",ROUND(Q90/1000000,3)&amp;" M€")</f>
        <v/>
      </c>
      <c r="S90" s="15">
</c>
      <c r="T90" s="6" cm="1" t="str">
        <f t="array" ref="T90">IF(C90="","",SUBSTITUTE(S90,"","")&amp;"%")</f>
        <v/>
      </c>
      <c r="U90" s="12" cm="1" t="str">
        <f t="array" ref="U90">IF(($N90="")*($P90=""),"",IF(($N90&lt;&gt;"")*($N90&gt;TODAY()-9)*($N90&lt;TODAY()+1)*($P90&lt;&gt;"")*($P90&gt;=TODAY())*($P90&lt;=TODAY()+13),"Semaine passée &amp; à venir",IF(($N90&lt;&gt;"")*($N90&gt;TODAY()-9)*($N90&lt;TODAY()+1),"Semaine passée",IF(($P90&lt;&gt;"")*($P90&gt;=TODAY())*($P90&lt;=TODAY()+13),"À venir","Autre"))))</f>
        <v/>
      </c>
      <c r="V90" s="5" cm="1" t="n">
        <f t="array" ref="V90">IF(C90&lt;&gt;"",1,0)</f>
        <v>0</v>
      </c>
      <c r="W90" s="5">
</c>
      <c r="X90" s="5">
</c>
      <c r="Y90" s="5">
</c>
      <c r="Z90" s="5">
</c>
      <c r="AA90" s="5">
</c>
      <c r="AB90" s="5">
</c>
      <c r="AC90" s="5">
</c>
      <c r="AD90" s="5">
</c>
      <c r="AE90" s="5">
</c>
      <c r="AF90" s="5">
</c>
      <c r="AG90" s="5">
</c>
      <c r="AH90" s="5">
</c>
      <c r="AI90" s="5">
</c>
      <c r="AJ90" s="5">
</c>
      <c r="AK90" s="5">
</c>
    </row>
    <row r="91" ht="65.25" customHeight="1">
      <c r="A91" s="6">
</c>
      <c r="B91" s="6">
</c>
      <c r="C91" s="11">
</c>
      <c r="D91" s="11">
</c>
      <c r="E91" s="6">
</c>
      <c r="F91" s="6">
</c>
      <c r="G91" s="6" cm="1" t="str">
        <f t="array" ref="G91">IF(F91="","",SUBSTITUTE(SUBSTITUTE(SUBSTITUTE(SUBSTITUTE(F91,"&lt;li&gt;",CHAR(10)),"&lt;/li&gt;",""),"&lt;br&gt;",CHAR(10)),"&lt;strong&gt;",""))</f>
        <v/>
      </c>
      <c r="H91" s="6" cm="1" t="str">
        <f t="array" ref="H91">IF(G91="","",SUBSTITUTE(SUBSTITUTE(SUBSTITUTE(SUBSTITUTE(SUBSTITUTE(G91,"&lt;p&gt;",""),"&lt;/p&gt;",""),"&lt;ul&gt;",""),"&lt;/ul&gt;",""),"&lt;/strong&gt;",""))</f>
        <v/>
      </c>
      <c r="I91" s="12" cm="1" t="str">
        <f t="array" ref="I91">IF(C91="","",IF(OR(H91="",H91=0,H91=FALSE),"-",H91))</f>
        <v/>
      </c>
      <c r="J91" s="6">
</c>
      <c r="K91" s="6">
</c>
      <c r="L91" s="6" cm="1" t="str">
        <f t="array" ref="L91">IF(C91="","",IF(K91="Mort / Plus rien à faire","KO","OK"))</f>
        <v/>
      </c>
      <c r="M91" s="13">
</c>
      <c r="N91" s="13" cm="1" t="str">
        <f t="array" ref="N91">IF(OR(C91="",M91="",M91=0),"",M91)</f>
        <v/>
      </c>
      <c r="O91" s="13">
</c>
      <c r="P91" s="13" cm="1" t="str">
        <f t="array" ref="P91">IF(C91="","",IF(OR(O91="",O91=0),"-",O91))</f>
        <v/>
      </c>
      <c r="Q91" s="14">
</c>
      <c r="R91" s="6" cm="1" t="str">
        <f t="array" ref="R91">IF(C91="","",ROUND(Q91/1000000,3)&amp;" M€")</f>
        <v/>
      </c>
      <c r="S91" s="15">
</c>
      <c r="T91" s="6" cm="1" t="str">
        <f t="array" ref="T91">IF(C91="","",SUBSTITUTE(S91,"","")&amp;"%")</f>
        <v/>
      </c>
      <c r="U91" s="12" cm="1" t="str">
        <f t="array" ref="U91">IF(($N91="")*($P91=""),"",IF(($N91&lt;&gt;"")*($N91&gt;TODAY()-9)*($N91&lt;TODAY()+1)*($P91&lt;&gt;"")*($P91&gt;=TODAY())*($P91&lt;=TODAY()+13),"Semaine passée &amp; à venir",IF(($N91&lt;&gt;"")*($N91&gt;TODAY()-9)*($N91&lt;TODAY()+1),"Semaine passée",IF(($P91&lt;&gt;"")*($P91&gt;=TODAY())*($P91&lt;=TODAY()+13),"À venir","Autre"))))</f>
        <v/>
      </c>
      <c r="V91" s="5" cm="1" t="n">
        <f t="array" ref="V91">IF(C91&lt;&gt;"",1,0)</f>
        <v>0</v>
      </c>
      <c r="W91" s="5">
</c>
      <c r="X91" s="5">
</c>
      <c r="Y91" s="5">
</c>
      <c r="Z91" s="5">
</c>
      <c r="AA91" s="5">
</c>
      <c r="AB91" s="5">
</c>
      <c r="AC91" s="5">
</c>
      <c r="AD91" s="5">
</c>
      <c r="AE91" s="5">
</c>
      <c r="AF91" s="5">
</c>
      <c r="AG91" s="5">
</c>
      <c r="AH91" s="5">
</c>
      <c r="AI91" s="5">
</c>
      <c r="AJ91" s="5">
</c>
      <c r="AK91" s="5">
</c>
    </row>
    <row r="92" ht="65.25" customHeight="1">
      <c r="A92" s="6">
</c>
      <c r="B92" s="6">
</c>
      <c r="C92" s="11">
</c>
      <c r="D92" s="11">
</c>
      <c r="E92" s="6">
</c>
      <c r="F92" s="6">
</c>
      <c r="G92" s="6" cm="1" t="str">
        <f t="array" ref="G92">IF(F92="","",SUBSTITUTE(SUBSTITUTE(SUBSTITUTE(SUBSTITUTE(F92,"&lt;li&gt;",CHAR(10)),"&lt;/li&gt;",""),"&lt;br&gt;",CHAR(10)),"&lt;strong&gt;",""))</f>
        <v/>
      </c>
      <c r="H92" s="6" cm="1" t="str">
        <f t="array" ref="H92">IF(G92="","",SUBSTITUTE(SUBSTITUTE(SUBSTITUTE(SUBSTITUTE(SUBSTITUTE(G92,"&lt;p&gt;",""),"&lt;/p&gt;",""),"&lt;ul&gt;",""),"&lt;/ul&gt;",""),"&lt;/strong&gt;",""))</f>
        <v/>
      </c>
      <c r="I92" s="12" cm="1" t="str">
        <f t="array" ref="I92">IF(C92="","",IF(OR(H92="",H92=0,H92=FALSE),"-",H92))</f>
        <v/>
      </c>
      <c r="J92" s="6">
</c>
      <c r="K92" s="6">
</c>
      <c r="L92" s="6" cm="1" t="str">
        <f t="array" ref="L92">IF(C92="","",IF(K92="Mort / Plus rien à faire","KO","OK"))</f>
        <v/>
      </c>
      <c r="M92" s="13">
</c>
      <c r="N92" s="13" cm="1" t="str">
        <f t="array" ref="N92">IF(OR(C92="",M92="",M92=0),"",M92)</f>
        <v/>
      </c>
      <c r="O92" s="13">
</c>
      <c r="P92" s="13" cm="1" t="str">
        <f t="array" ref="P92">IF(C92="","",IF(OR(O92="",O92=0),"-",O92))</f>
        <v/>
      </c>
      <c r="Q92" s="14">
</c>
      <c r="R92" s="6" cm="1" t="str">
        <f t="array" ref="R92">IF(C92="","",ROUND(Q92/1000000,3)&amp;" M€")</f>
        <v/>
      </c>
      <c r="S92" s="15">
</c>
      <c r="T92" s="6" cm="1" t="str">
        <f t="array" ref="T92">IF(C92="","",SUBSTITUTE(S92,"","")&amp;"%")</f>
        <v/>
      </c>
      <c r="U92" s="12" cm="1" t="str">
        <f t="array" ref="U92">IF(($N92="")*($P92=""),"",IF(($N92&lt;&gt;"")*($N92&gt;TODAY()-9)*($N92&lt;TODAY()+1)*($P92&lt;&gt;"")*($P92&gt;=TODAY())*($P92&lt;=TODAY()+13),"Semaine passée &amp; à venir",IF(($N92&lt;&gt;"")*($N92&gt;TODAY()-9)*($N92&lt;TODAY()+1),"Semaine passée",IF(($P92&lt;&gt;"")*($P92&gt;=TODAY())*($P92&lt;=TODAY()+13),"À venir","Autre"))))</f>
        <v/>
      </c>
      <c r="V92" s="5" cm="1" t="n">
        <f t="array" ref="V92">IF(C92&lt;&gt;"",1,0)</f>
        <v>0</v>
      </c>
      <c r="W92" s="5">
</c>
      <c r="X92" s="5">
</c>
      <c r="Y92" s="5">
</c>
      <c r="Z92" s="5">
</c>
      <c r="AA92" s="5">
</c>
      <c r="AB92" s="5">
</c>
      <c r="AC92" s="5">
</c>
      <c r="AD92" s="5">
</c>
      <c r="AE92" s="5">
</c>
      <c r="AF92" s="5">
</c>
      <c r="AG92" s="5">
</c>
      <c r="AH92" s="5">
</c>
      <c r="AI92" s="5">
</c>
      <c r="AJ92" s="5">
</c>
      <c r="AK92" s="5">
</c>
    </row>
    <row r="93" ht="65.25" customHeight="1">
      <c r="A93" s="6">
</c>
      <c r="B93" s="6">
</c>
      <c r="C93" s="11">
</c>
      <c r="D93" s="11">
</c>
      <c r="E93" s="6">
</c>
      <c r="F93" s="6">
</c>
      <c r="G93" s="6" cm="1" t="str">
        <f t="array" ref="G93">IF(F93="","",SUBSTITUTE(SUBSTITUTE(SUBSTITUTE(SUBSTITUTE(F93,"&lt;li&gt;",CHAR(10)),"&lt;/li&gt;",""),"&lt;br&gt;",CHAR(10)),"&lt;strong&gt;",""))</f>
        <v/>
      </c>
      <c r="H93" s="6" cm="1" t="str">
        <f t="array" ref="H93">IF(G93="","",SUBSTITUTE(SUBSTITUTE(SUBSTITUTE(SUBSTITUTE(SUBSTITUTE(G93,"&lt;p&gt;",""),"&lt;/p&gt;",""),"&lt;ul&gt;",""),"&lt;/ul&gt;",""),"&lt;/strong&gt;",""))</f>
        <v/>
      </c>
      <c r="I93" s="12" cm="1" t="str">
        <f t="array" ref="I93">IF(C93="","",IF(OR(H93="",H93=0,H93=FALSE),"-",H93))</f>
        <v/>
      </c>
      <c r="J93" s="6">
</c>
      <c r="K93" s="6">
</c>
      <c r="L93" s="6" cm="1" t="str">
        <f t="array" ref="L93">IF(C93="","",IF(K93="Mort / Plus rien à faire","KO","OK"))</f>
        <v/>
      </c>
      <c r="M93" s="13">
</c>
      <c r="N93" s="13" cm="1" t="str">
        <f t="array" ref="N93">IF(OR(C93="",M93="",M93=0),"",M93)</f>
        <v/>
      </c>
      <c r="O93" s="13">
</c>
      <c r="P93" s="13" cm="1" t="str">
        <f t="array" ref="P93">IF(C93="","",IF(OR(O93="",O93=0),"-",O93))</f>
        <v/>
      </c>
      <c r="Q93" s="14">
</c>
      <c r="R93" s="6" cm="1" t="str">
        <f t="array" ref="R93">IF(C93="","",ROUND(Q93/1000000,3)&amp;" M€")</f>
        <v/>
      </c>
      <c r="S93" s="15">
</c>
      <c r="T93" s="6" cm="1" t="str">
        <f t="array" ref="T93">IF(C93="","",SUBSTITUTE(S93,"","")&amp;"%")</f>
        <v/>
      </c>
      <c r="U93" s="12" cm="1" t="str">
        <f t="array" ref="U93">IF(($N93="")*($P93=""),"",IF(($N93&lt;&gt;"")*($N93&gt;TODAY()-9)*($N93&lt;TODAY()+1)*($P93&lt;&gt;"")*($P93&gt;=TODAY())*($P93&lt;=TODAY()+13),"Semaine passée &amp; à venir",IF(($N93&lt;&gt;"")*($N93&gt;TODAY()-9)*($N93&lt;TODAY()+1),"Semaine passée",IF(($P93&lt;&gt;"")*($P93&gt;=TODAY())*($P93&lt;=TODAY()+13),"À venir","Autre"))))</f>
        <v/>
      </c>
      <c r="V93" s="5" cm="1" t="n">
        <f t="array" ref="V93">IF(C93&lt;&gt;"",1,0)</f>
        <v>0</v>
      </c>
      <c r="W93" s="5">
</c>
      <c r="X93" s="5">
</c>
      <c r="Y93" s="5">
</c>
      <c r="Z93" s="5">
</c>
      <c r="AA93" s="5">
</c>
      <c r="AB93" s="5">
</c>
      <c r="AC93" s="5">
</c>
      <c r="AD93" s="5">
</c>
      <c r="AE93" s="5">
</c>
      <c r="AF93" s="5">
</c>
      <c r="AG93" s="5">
</c>
      <c r="AH93" s="5">
</c>
      <c r="AI93" s="5">
</c>
      <c r="AJ93" s="5">
</c>
      <c r="AK93" s="5">
</c>
    </row>
    <row r="94" ht="65.25" customHeight="1">
      <c r="A94" s="6">
</c>
      <c r="B94" s="6">
</c>
      <c r="C94" s="11">
</c>
      <c r="D94" s="11">
</c>
      <c r="E94" s="6">
</c>
      <c r="F94" s="6">
</c>
      <c r="G94" s="6" cm="1" t="str">
        <f t="array" ref="G94">IF(F94="","",SUBSTITUTE(SUBSTITUTE(SUBSTITUTE(SUBSTITUTE(F94,"&lt;li&gt;",CHAR(10)),"&lt;/li&gt;",""),"&lt;br&gt;",CHAR(10)),"&lt;strong&gt;",""))</f>
        <v/>
      </c>
      <c r="H94" s="6" cm="1" t="str">
        <f t="array" ref="H94">IF(G94="","",SUBSTITUTE(SUBSTITUTE(SUBSTITUTE(SUBSTITUTE(SUBSTITUTE(G94,"&lt;p&gt;",""),"&lt;/p&gt;",""),"&lt;ul&gt;",""),"&lt;/ul&gt;",""),"&lt;/strong&gt;",""))</f>
        <v/>
      </c>
      <c r="I94" s="12" cm="1" t="str">
        <f t="array" ref="I94">IF(C94="","",IF(OR(H94="",H94=0,H94=FALSE),"-",H94))</f>
        <v/>
      </c>
      <c r="J94" s="6">
</c>
      <c r="K94" s="6">
</c>
      <c r="L94" s="6" cm="1" t="str">
        <f t="array" ref="L94">IF(C94="","",IF(K94="Mort / Plus rien à faire","KO","OK"))</f>
        <v/>
      </c>
      <c r="M94" s="13">
</c>
      <c r="N94" s="13" cm="1" t="str">
        <f t="array" ref="N94">IF(OR(C94="",M94="",M94=0),"",M94)</f>
        <v/>
      </c>
      <c r="O94" s="13">
</c>
      <c r="P94" s="13" cm="1" t="str">
        <f t="array" ref="P94">IF(C94="","",IF(OR(O94="",O94=0),"-",O94))</f>
        <v/>
      </c>
      <c r="Q94" s="14">
</c>
      <c r="R94" s="6" cm="1" t="str">
        <f t="array" ref="R94">IF(C94="","",ROUND(Q94/1000000,3)&amp;" M€")</f>
        <v/>
      </c>
      <c r="S94" s="15">
</c>
      <c r="T94" s="6" cm="1" t="str">
        <f t="array" ref="T94">IF(C94="","",SUBSTITUTE(S94,"","")&amp;"%")</f>
        <v/>
      </c>
      <c r="U94" s="12" cm="1" t="str">
        <f t="array" ref="U94">IF(($N94="")*($P94=""),"",IF(($N94&lt;&gt;"")*($N94&gt;TODAY()-9)*($N94&lt;TODAY()+1)*($P94&lt;&gt;"")*($P94&gt;=TODAY())*($P94&lt;=TODAY()+13),"Semaine passée &amp; à venir",IF(($N94&lt;&gt;"")*($N94&gt;TODAY()-9)*($N94&lt;TODAY()+1),"Semaine passée",IF(($P94&lt;&gt;"")*($P94&gt;=TODAY())*($P94&lt;=TODAY()+13),"À venir","Autre"))))</f>
        <v/>
      </c>
      <c r="V94" s="5" cm="1" t="n">
        <f t="array" ref="V94">IF(C94&lt;&gt;"",1,0)</f>
        <v>0</v>
      </c>
      <c r="W94" s="5">
</c>
      <c r="X94" s="5">
</c>
      <c r="Y94" s="5">
</c>
      <c r="Z94" s="5">
</c>
      <c r="AA94" s="5">
</c>
      <c r="AB94" s="5">
</c>
      <c r="AC94" s="5">
</c>
      <c r="AD94" s="5">
</c>
      <c r="AE94" s="5">
</c>
      <c r="AF94" s="5">
</c>
      <c r="AG94" s="5">
</c>
      <c r="AH94" s="5">
</c>
      <c r="AI94" s="5">
</c>
      <c r="AJ94" s="5">
</c>
      <c r="AK94" s="5">
</c>
    </row>
    <row r="95" ht="65.25" customHeight="1">
      <c r="A95" s="6">
</c>
      <c r="B95" s="6">
</c>
      <c r="C95" s="11">
</c>
      <c r="D95" s="11">
</c>
      <c r="E95" s="6">
</c>
      <c r="F95" s="6">
</c>
      <c r="G95" s="6" cm="1" t="str">
        <f t="array" ref="G95">IF(F95="","",SUBSTITUTE(SUBSTITUTE(SUBSTITUTE(SUBSTITUTE(F95,"&lt;li&gt;",CHAR(10)),"&lt;/li&gt;",""),"&lt;br&gt;",CHAR(10)),"&lt;strong&gt;",""))</f>
        <v/>
      </c>
      <c r="H95" s="6" cm="1" t="str">
        <f t="array" ref="H95">IF(G95="","",SUBSTITUTE(SUBSTITUTE(SUBSTITUTE(SUBSTITUTE(SUBSTITUTE(G95,"&lt;p&gt;",""),"&lt;/p&gt;",""),"&lt;ul&gt;",""),"&lt;/ul&gt;",""),"&lt;/strong&gt;",""))</f>
        <v/>
      </c>
      <c r="I95" s="12" cm="1" t="str">
        <f t="array" ref="I95">IF(C95="","",IF(OR(H95="",H95=0,H95=FALSE),"-",H95))</f>
        <v/>
      </c>
      <c r="J95" s="6">
</c>
      <c r="K95" s="6">
</c>
      <c r="L95" s="6" cm="1" t="str">
        <f t="array" ref="L95">IF(C95="","",IF(K95="Mort / Plus rien à faire","KO","OK"))</f>
        <v/>
      </c>
      <c r="M95" s="13">
</c>
      <c r="N95" s="13" cm="1" t="str">
        <f t="array" ref="N95">IF(OR(C95="",M95="",M95=0),"",M95)</f>
        <v/>
      </c>
      <c r="O95" s="13">
</c>
      <c r="P95" s="13" cm="1" t="str">
        <f t="array" ref="P95">IF(C95="","",IF(OR(O95="",O95=0),"-",O95))</f>
        <v/>
      </c>
      <c r="Q95" s="14">
</c>
      <c r="R95" s="6" cm="1" t="str">
        <f t="array" ref="R95">IF(C95="","",ROUND(Q95/1000000,3)&amp;" M€")</f>
        <v/>
      </c>
      <c r="S95" s="15">
</c>
      <c r="T95" s="6" cm="1" t="str">
        <f t="array" ref="T95">IF(C95="","",SUBSTITUTE(S95,"","")&amp;"%")</f>
        <v/>
      </c>
      <c r="U95" s="12" cm="1" t="str">
        <f t="array" ref="U95">IF(($N95="")*($P95=""),"",IF(($N95&lt;&gt;"")*($N95&gt;TODAY()-9)*($N95&lt;TODAY()+1)*($P95&lt;&gt;"")*($P95&gt;=TODAY())*($P95&lt;=TODAY()+13),"Semaine passée &amp; à venir",IF(($N95&lt;&gt;"")*($N95&gt;TODAY()-9)*($N95&lt;TODAY()+1),"Semaine passée",IF(($P95&lt;&gt;"")*($P95&gt;=TODAY())*($P95&lt;=TODAY()+13),"À venir","Autre"))))</f>
        <v/>
      </c>
      <c r="V95" s="5" cm="1" t="n">
        <f t="array" ref="V95">IF(C95&lt;&gt;"",1,0)</f>
        <v>0</v>
      </c>
      <c r="W95" s="5">
</c>
      <c r="X95" s="5">
</c>
      <c r="Y95" s="5">
</c>
      <c r="Z95" s="5">
</c>
      <c r="AA95" s="5">
</c>
      <c r="AB95" s="5">
</c>
      <c r="AC95" s="5">
</c>
      <c r="AD95" s="5">
</c>
      <c r="AE95" s="5">
</c>
      <c r="AF95" s="5">
</c>
      <c r="AG95" s="5">
</c>
      <c r="AH95" s="5">
</c>
      <c r="AI95" s="5">
</c>
      <c r="AJ95" s="5">
</c>
      <c r="AK95" s="5">
</c>
    </row>
    <row r="96" ht="65.25" customHeight="1">
      <c r="A96" s="6">
</c>
      <c r="B96" s="6">
</c>
      <c r="C96" s="11">
</c>
      <c r="D96" s="11">
</c>
      <c r="E96" s="6">
</c>
      <c r="F96" s="6">
</c>
      <c r="G96" s="6" cm="1" t="str">
        <f t="array" ref="G96">IF(F96="","",SUBSTITUTE(SUBSTITUTE(SUBSTITUTE(SUBSTITUTE(F96,"&lt;li&gt;",CHAR(10)),"&lt;/li&gt;",""),"&lt;br&gt;",CHAR(10)),"&lt;strong&gt;",""))</f>
        <v/>
      </c>
      <c r="H96" s="6" cm="1" t="str">
        <f t="array" ref="H96">IF(G96="","",SUBSTITUTE(SUBSTITUTE(SUBSTITUTE(SUBSTITUTE(SUBSTITUTE(G96,"&lt;p&gt;",""),"&lt;/p&gt;",""),"&lt;ul&gt;",""),"&lt;/ul&gt;",""),"&lt;/strong&gt;",""))</f>
        <v/>
      </c>
      <c r="I96" s="12" cm="1" t="str">
        <f t="array" ref="I96">IF(C96="","",IF(OR(H96="",H96=0,H96=FALSE),"-",H96))</f>
        <v/>
      </c>
      <c r="J96" s="6">
</c>
      <c r="K96" s="6">
</c>
      <c r="L96" s="6" cm="1" t="str">
        <f t="array" ref="L96">IF(C96="","",IF(K96="Mort / Plus rien à faire","KO","OK"))</f>
        <v/>
      </c>
      <c r="M96" s="13">
</c>
      <c r="N96" s="13" cm="1" t="str">
        <f t="array" ref="N96">IF(OR(C96="",M96="",M96=0),"",M96)</f>
        <v/>
      </c>
      <c r="O96" s="13">
</c>
      <c r="P96" s="13" cm="1" t="str">
        <f t="array" ref="P96">IF(C96="","",IF(OR(O96="",O96=0),"-",O96))</f>
        <v/>
      </c>
      <c r="Q96" s="14">
</c>
      <c r="R96" s="6" cm="1" t="str">
        <f t="array" ref="R96">IF(C96="","",ROUND(Q96/1000000,3)&amp;" M€")</f>
        <v/>
      </c>
      <c r="S96" s="15">
</c>
      <c r="T96" s="6" cm="1" t="str">
        <f t="array" ref="T96">IF(C96="","",SUBSTITUTE(S96,"","")&amp;"%")</f>
        <v/>
      </c>
      <c r="U96" s="12" cm="1" t="str">
        <f t="array" ref="U96">IF(($N96="")*($P96=""),"",IF(($N96&lt;&gt;"")*($N96&gt;TODAY()-9)*($N96&lt;TODAY()+1)*($P96&lt;&gt;"")*($P96&gt;=TODAY())*($P96&lt;=TODAY()+13),"Semaine passée &amp; à venir",IF(($N96&lt;&gt;"")*($N96&gt;TODAY()-9)*($N96&lt;TODAY()+1),"Semaine passée",IF(($P96&lt;&gt;"")*($P96&gt;=TODAY())*($P96&lt;=TODAY()+13),"À venir","Autre"))))</f>
        <v/>
      </c>
      <c r="V96" s="5" cm="1" t="n">
        <f t="array" ref="V96">IF(C96&lt;&gt;"",1,0)</f>
        <v>0</v>
      </c>
      <c r="W96" s="5">
</c>
      <c r="X96" s="5">
</c>
      <c r="Y96" s="5">
</c>
      <c r="Z96" s="5">
</c>
      <c r="AA96" s="5">
</c>
      <c r="AB96" s="5">
</c>
      <c r="AC96" s="5">
</c>
      <c r="AD96" s="5">
</c>
      <c r="AE96" s="5">
</c>
      <c r="AF96" s="5">
</c>
      <c r="AG96" s="5">
</c>
      <c r="AH96" s="5">
</c>
      <c r="AI96" s="5">
</c>
      <c r="AJ96" s="5">
</c>
      <c r="AK96" s="5">
</c>
    </row>
    <row r="97" ht="65.25" customHeight="1">
      <c r="A97" s="6">
</c>
      <c r="B97" s="6">
</c>
      <c r="C97" s="11">
</c>
      <c r="D97" s="11">
</c>
      <c r="E97" s="6">
</c>
      <c r="F97" s="6">
</c>
      <c r="G97" s="6" cm="1" t="str">
        <f t="array" ref="G97">IF(F97="","",SUBSTITUTE(SUBSTITUTE(SUBSTITUTE(SUBSTITUTE(F97,"&lt;li&gt;",CHAR(10)),"&lt;/li&gt;",""),"&lt;br&gt;",CHAR(10)),"&lt;strong&gt;",""))</f>
        <v/>
      </c>
      <c r="H97" s="6" cm="1" t="str">
        <f t="array" ref="H97">IF(G97="","",SUBSTITUTE(SUBSTITUTE(SUBSTITUTE(SUBSTITUTE(SUBSTITUTE(G97,"&lt;p&gt;",""),"&lt;/p&gt;",""),"&lt;ul&gt;",""),"&lt;/ul&gt;",""),"&lt;/strong&gt;",""))</f>
        <v/>
      </c>
      <c r="I97" s="12" cm="1" t="str">
        <f t="array" ref="I97">IF(C97="","",IF(OR(H97="",H97=0,H97=FALSE),"-",H97))</f>
        <v/>
      </c>
      <c r="J97" s="6">
</c>
      <c r="K97" s="6">
</c>
      <c r="L97" s="6" cm="1" t="str">
        <f t="array" ref="L97">IF(C97="","",IF(K97="Mort / Plus rien à faire","KO","OK"))</f>
        <v/>
      </c>
      <c r="M97" s="13">
</c>
      <c r="N97" s="13" cm="1" t="str">
        <f t="array" ref="N97">IF(OR(C97="",M97="",M97=0),"",M97)</f>
        <v/>
      </c>
      <c r="O97" s="13">
</c>
      <c r="P97" s="13" cm="1" t="str">
        <f t="array" ref="P97">IF(C97="","",IF(OR(O97="",O97=0),"-",O97))</f>
        <v/>
      </c>
      <c r="Q97" s="14">
</c>
      <c r="R97" s="6" cm="1" t="str">
        <f t="array" ref="R97">IF(C97="","",ROUND(Q97/1000000,3)&amp;" M€")</f>
        <v/>
      </c>
      <c r="S97" s="15">
</c>
      <c r="T97" s="6" cm="1" t="str">
        <f t="array" ref="T97">IF(C97="","",SUBSTITUTE(S97,"","")&amp;"%")</f>
        <v/>
      </c>
      <c r="U97" s="12" cm="1" t="str">
        <f t="array" ref="U97">IF(($N97="")*($P97=""),"",IF(($N97&lt;&gt;"")*($N97&gt;TODAY()-9)*($N97&lt;TODAY()+1)*($P97&lt;&gt;"")*($P97&gt;=TODAY())*($P97&lt;=TODAY()+13),"Semaine passée &amp; à venir",IF(($N97&lt;&gt;"")*($N97&gt;TODAY()-9)*($N97&lt;TODAY()+1),"Semaine passée",IF(($P97&lt;&gt;"")*($P97&gt;=TODAY())*($P97&lt;=TODAY()+13),"À venir","Autre"))))</f>
        <v/>
      </c>
      <c r="V97" s="5" cm="1" t="n">
        <f t="array" ref="V97">IF(C97&lt;&gt;"",1,0)</f>
        <v>0</v>
      </c>
      <c r="W97" s="5">
</c>
      <c r="X97" s="5">
</c>
      <c r="Y97" s="5">
</c>
      <c r="Z97" s="5">
</c>
      <c r="AA97" s="5">
</c>
      <c r="AB97" s="5">
</c>
      <c r="AC97" s="5">
</c>
      <c r="AD97" s="5">
</c>
      <c r="AE97" s="5">
</c>
      <c r="AF97" s="5">
</c>
      <c r="AG97" s="5">
</c>
      <c r="AH97" s="5">
</c>
      <c r="AI97" s="5">
</c>
      <c r="AJ97" s="5">
</c>
      <c r="AK97" s="5">
</c>
    </row>
    <row r="98" ht="65.25" customHeight="1">
      <c r="A98" s="6">
</c>
      <c r="B98" s="6">
</c>
      <c r="C98" s="11">
</c>
      <c r="D98" s="11">
</c>
      <c r="E98" s="6">
</c>
      <c r="F98" s="6">
</c>
      <c r="G98" s="6" cm="1" t="str">
        <f t="array" ref="G98">IF(F98="","",SUBSTITUTE(SUBSTITUTE(SUBSTITUTE(SUBSTITUTE(F98,"&lt;li&gt;",CHAR(10)),"&lt;/li&gt;",""),"&lt;br&gt;",CHAR(10)),"&lt;strong&gt;",""))</f>
        <v/>
      </c>
      <c r="H98" s="6" cm="1" t="str">
        <f t="array" ref="H98">IF(G98="","",SUBSTITUTE(SUBSTITUTE(SUBSTITUTE(SUBSTITUTE(SUBSTITUTE(G98,"&lt;p&gt;",""),"&lt;/p&gt;",""),"&lt;ul&gt;",""),"&lt;/ul&gt;",""),"&lt;/strong&gt;",""))</f>
        <v/>
      </c>
      <c r="I98" s="12" cm="1" t="str">
        <f t="array" ref="I98">IF(C98="","",IF(OR(H98="",H98=0,H98=FALSE),"-",H98))</f>
        <v/>
      </c>
      <c r="J98" s="6">
</c>
      <c r="K98" s="6">
</c>
      <c r="L98" s="6" cm="1" t="str">
        <f t="array" ref="L98">IF(C98="","",IF(K98="Mort / Plus rien à faire","KO","OK"))</f>
        <v/>
      </c>
      <c r="M98" s="13">
</c>
      <c r="N98" s="13" cm="1" t="str">
        <f t="array" ref="N98">IF(OR(C98="",M98="",M98=0),"",M98)</f>
        <v/>
      </c>
      <c r="O98" s="13">
</c>
      <c r="P98" s="13" cm="1" t="str">
        <f t="array" ref="P98">IF(C98="","",IF(OR(O98="",O98=0),"-",O98))</f>
        <v/>
      </c>
      <c r="Q98" s="14">
</c>
      <c r="R98" s="6" cm="1" t="str">
        <f t="array" ref="R98">IF(C98="","",ROUND(Q98/1000000,3)&amp;" M€")</f>
        <v/>
      </c>
      <c r="S98" s="15">
</c>
      <c r="T98" s="6" cm="1" t="str">
        <f t="array" ref="T98">IF(C98="","",SUBSTITUTE(S98,"","")&amp;"%")</f>
        <v/>
      </c>
      <c r="U98" s="12" cm="1" t="str">
        <f t="array" ref="U98">IF(($N98="")*($P98=""),"",IF(($N98&lt;&gt;"")*($N98&gt;TODAY()-9)*($N98&lt;TODAY()+1)*($P98&lt;&gt;"")*($P98&gt;=TODAY())*($P98&lt;=TODAY()+13),"Semaine passée &amp; à venir",IF(($N98&lt;&gt;"")*($N98&gt;TODAY()-9)*($N98&lt;TODAY()+1),"Semaine passée",IF(($P98&lt;&gt;"")*($P98&gt;=TODAY())*($P98&lt;=TODAY()+13),"À venir","Autre"))))</f>
        <v/>
      </c>
      <c r="V98" s="5" cm="1" t="n">
        <f t="array" ref="V98">IF(C98&lt;&gt;"",1,0)</f>
        <v>0</v>
      </c>
      <c r="W98" s="5">
</c>
      <c r="X98" s="5">
</c>
      <c r="Y98" s="5">
</c>
      <c r="Z98" s="5">
</c>
      <c r="AA98" s="5">
</c>
      <c r="AB98" s="5">
</c>
      <c r="AC98" s="5">
</c>
      <c r="AD98" s="5">
</c>
      <c r="AE98" s="5">
</c>
      <c r="AF98" s="5">
</c>
      <c r="AG98" s="5">
</c>
      <c r="AH98" s="5">
</c>
      <c r="AI98" s="5">
</c>
      <c r="AJ98" s="5">
</c>
      <c r="AK98" s="5">
</c>
    </row>
    <row r="99" ht="65.25" customHeight="1">
      <c r="A99" s="6">
</c>
      <c r="B99" s="6">
</c>
      <c r="C99" s="11">
</c>
      <c r="D99" s="11">
</c>
      <c r="E99" s="6">
</c>
      <c r="F99" s="6">
</c>
      <c r="G99" s="6" cm="1" t="str">
        <f t="array" ref="G99">IF(F99="","",SUBSTITUTE(SUBSTITUTE(SUBSTITUTE(SUBSTITUTE(F99,"&lt;li&gt;",CHAR(10)),"&lt;/li&gt;",""),"&lt;br&gt;",CHAR(10)),"&lt;strong&gt;",""))</f>
        <v/>
      </c>
      <c r="H99" s="6" cm="1" t="str">
        <f t="array" ref="H99">IF(G99="","",SUBSTITUTE(SUBSTITUTE(SUBSTITUTE(SUBSTITUTE(SUBSTITUTE(G99,"&lt;p&gt;",""),"&lt;/p&gt;",""),"&lt;ul&gt;",""),"&lt;/ul&gt;",""),"&lt;/strong&gt;",""))</f>
        <v/>
      </c>
      <c r="I99" s="12" cm="1" t="str">
        <f t="array" ref="I99">IF(C99="","",IF(OR(H99="",H99=0,H99=FALSE),"-",H99))</f>
        <v/>
      </c>
      <c r="J99" s="6">
</c>
      <c r="K99" s="6">
</c>
      <c r="L99" s="6" cm="1" t="str">
        <f t="array" ref="L99">IF(C99="","",IF(K99="Mort / Plus rien à faire","KO","OK"))</f>
        <v/>
      </c>
      <c r="M99" s="13">
</c>
      <c r="N99" s="13" cm="1" t="str">
        <f t="array" ref="N99">IF(OR(C99="",M99="",M99=0),"",M99)</f>
        <v/>
      </c>
      <c r="O99" s="13">
</c>
      <c r="P99" s="13" cm="1" t="str">
        <f t="array" ref="P99">IF(C99="","",IF(OR(O99="",O99=0),"-",O99))</f>
        <v/>
      </c>
      <c r="Q99" s="14">
</c>
      <c r="R99" s="6" cm="1" t="str">
        <f t="array" ref="R99">IF(C99="","",ROUND(Q99/1000000,3)&amp;" M€")</f>
        <v/>
      </c>
      <c r="S99" s="15">
</c>
      <c r="T99" s="6" cm="1" t="str">
        <f t="array" ref="T99">IF(C99="","",SUBSTITUTE(S99,"","")&amp;"%")</f>
        <v/>
      </c>
      <c r="U99" s="12" cm="1" t="str">
        <f t="array" ref="U99">IF(($N99="")*($P99=""),"",IF(($N99&lt;&gt;"")*($N99&gt;TODAY()-9)*($N99&lt;TODAY()+1)*($P99&lt;&gt;"")*($P99&gt;=TODAY())*($P99&lt;=TODAY()+13),"Semaine passée &amp; à venir",IF(($N99&lt;&gt;"")*($N99&gt;TODAY()-9)*($N99&lt;TODAY()+1),"Semaine passée",IF(($P99&lt;&gt;"")*($P99&gt;=TODAY())*($P99&lt;=TODAY()+13),"À venir","Autre"))))</f>
        <v/>
      </c>
      <c r="V99" s="5" cm="1" t="n">
        <f t="array" ref="V99">IF(C99&lt;&gt;"",1,0)</f>
        <v>0</v>
      </c>
      <c r="W99" s="5">
</c>
      <c r="X99" s="5">
</c>
      <c r="Y99" s="5">
</c>
      <c r="Z99" s="5">
</c>
      <c r="AA99" s="5">
</c>
      <c r="AB99" s="5">
</c>
      <c r="AC99" s="5">
</c>
      <c r="AD99" s="5">
</c>
      <c r="AE99" s="5">
</c>
      <c r="AF99" s="5">
</c>
      <c r="AG99" s="5">
</c>
      <c r="AH99" s="5">
</c>
      <c r="AI99" s="5">
</c>
      <c r="AJ99" s="5">
</c>
      <c r="AK99" s="5">
</c>
    </row>
    <row r="100" ht="65.25" customHeight="1">
      <c r="A100" s="6">
</c>
      <c r="B100" s="6">
</c>
      <c r="C100" s="11">
</c>
      <c r="D100" s="11">
</c>
      <c r="E100" s="6">
</c>
      <c r="F100" s="6">
</c>
      <c r="G100" s="6" cm="1" t="str">
        <f t="array" ref="G100">IF(F100="","",SUBSTITUTE(SUBSTITUTE(SUBSTITUTE(SUBSTITUTE(F100,"&lt;li&gt;",CHAR(10)),"&lt;/li&gt;",""),"&lt;br&gt;",CHAR(10)),"&lt;strong&gt;",""))</f>
        <v/>
      </c>
      <c r="H100" s="6" cm="1" t="str">
        <f t="array" ref="H100">IF(G100="","",SUBSTITUTE(SUBSTITUTE(SUBSTITUTE(SUBSTITUTE(SUBSTITUTE(G100,"&lt;p&gt;",""),"&lt;/p&gt;",""),"&lt;ul&gt;",""),"&lt;/ul&gt;",""),"&lt;/strong&gt;",""))</f>
        <v/>
      </c>
      <c r="I100" s="12" cm="1" t="str">
        <f t="array" ref="I100">IF(C100="","",IF(OR(H100="",H100=0,H100=FALSE),"-",H100))</f>
        <v/>
      </c>
      <c r="J100" s="6">
</c>
      <c r="K100" s="6">
</c>
      <c r="L100" s="6" cm="1" t="str">
        <f t="array" ref="L100">IF(C100="","",IF(K100="Mort / Plus rien à faire","KO","OK"))</f>
        <v/>
      </c>
      <c r="M100" s="13">
</c>
      <c r="N100" s="13" cm="1" t="str">
        <f t="array" ref="N100">IF(OR(C100="",M100="",M100=0),"",M100)</f>
        <v/>
      </c>
      <c r="O100" s="13">
</c>
      <c r="P100" s="13" cm="1" t="str">
        <f t="array" ref="P100">IF(C100="","",IF(OR(O100="",O100=0),"-",O100))</f>
        <v/>
      </c>
      <c r="Q100" s="14">
</c>
      <c r="R100" s="6" cm="1" t="str">
        <f t="array" ref="R100">IF(C100="","",ROUND(Q100/1000000,3)&amp;" M€")</f>
        <v/>
      </c>
      <c r="S100" s="15">
</c>
      <c r="T100" s="6" cm="1" t="str">
        <f t="array" ref="T100">IF(C100="","",SUBSTITUTE(S100,"","")&amp;"%")</f>
        <v/>
      </c>
      <c r="U100" s="12" cm="1" t="str">
        <f t="array" ref="U100">IF(($N100="")*($P100=""),"",IF(($N100&lt;&gt;"")*($N100&gt;TODAY()-9)*($N100&lt;TODAY()+1)*($P100&lt;&gt;"")*($P100&gt;=TODAY())*($P100&lt;=TODAY()+13),"Semaine passée &amp; à venir",IF(($N100&lt;&gt;"")*($N100&gt;TODAY()-9)*($N100&lt;TODAY()+1),"Semaine passée",IF(($P100&lt;&gt;"")*($P100&gt;=TODAY())*($P100&lt;=TODAY()+13),"À venir","Autre"))))</f>
        <v/>
      </c>
      <c r="V100" s="5" cm="1" t="n">
        <f t="array" ref="V100">IF(C100&lt;&gt;"",1,0)</f>
        <v>0</v>
      </c>
      <c r="W100" s="5">
</c>
      <c r="X100" s="5">
</c>
      <c r="Y100" s="5">
</c>
      <c r="Z100" s="5">
</c>
      <c r="AA100" s="5">
</c>
      <c r="AB100" s="5">
</c>
      <c r="AC100" s="5">
</c>
      <c r="AD100" s="5">
</c>
      <c r="AE100" s="5">
</c>
      <c r="AF100" s="5">
</c>
      <c r="AG100" s="5">
</c>
      <c r="AH100" s="5">
</c>
      <c r="AI100" s="5">
</c>
      <c r="AJ100" s="5">
</c>
      <c r="AK100" s="5">
</c>
    </row>
    <row r="101" ht="65.25" customHeight="1">
      <c r="A101" s="6">
</c>
      <c r="B101" s="6">
</c>
      <c r="C101" s="11">
</c>
      <c r="D101" s="11">
</c>
      <c r="E101" s="6">
</c>
      <c r="F101" s="6">
</c>
      <c r="G101" s="6" cm="1" t="str">
        <f t="array" ref="G101">IF(F101="","",SUBSTITUTE(SUBSTITUTE(SUBSTITUTE(SUBSTITUTE(F101,"&lt;li&gt;",CHAR(10)),"&lt;/li&gt;",""),"&lt;br&gt;",CHAR(10)),"&lt;strong&gt;",""))</f>
        <v/>
      </c>
      <c r="H101" s="6" cm="1" t="str">
        <f t="array" ref="H101">IF(G101="","",SUBSTITUTE(SUBSTITUTE(SUBSTITUTE(SUBSTITUTE(SUBSTITUTE(G101,"&lt;p&gt;",""),"&lt;/p&gt;",""),"&lt;ul&gt;",""),"&lt;/ul&gt;",""),"&lt;/strong&gt;",""))</f>
        <v/>
      </c>
      <c r="I101" s="12" cm="1" t="str">
        <f t="array" ref="I101">IF(C101="","",IF(OR(H101="",H101=0,H101=FALSE),"-",H101))</f>
        <v/>
      </c>
      <c r="J101" s="6">
</c>
      <c r="K101" s="6">
</c>
      <c r="L101" s="6" cm="1" t="str">
        <f t="array" ref="L101">IF(C101="","",IF(K101="Mort / Plus rien à faire","KO","OK"))</f>
        <v/>
      </c>
      <c r="M101" s="13">
</c>
      <c r="N101" s="13" cm="1" t="str">
        <f t="array" ref="N101">IF(OR(C101="",M101="",M101=0),"",M101)</f>
        <v/>
      </c>
      <c r="O101" s="13">
</c>
      <c r="P101" s="13" cm="1" t="str">
        <f t="array" ref="P101">IF(C101="","",IF(OR(O101="",O101=0),"-",O101))</f>
        <v/>
      </c>
      <c r="Q101" s="14">
</c>
      <c r="R101" s="6" cm="1" t="str">
        <f t="array" ref="R101">IF(C101="","",ROUND(Q101/1000000,3)&amp;" M€")</f>
        <v/>
      </c>
      <c r="S101" s="15">
</c>
      <c r="T101" s="6" cm="1" t="str">
        <f t="array" ref="T101">IF(C101="","",SUBSTITUTE(S101,"","")&amp;"%")</f>
        <v/>
      </c>
      <c r="U101" s="12" cm="1" t="str">
        <f t="array" ref="U101">IF(($N101="")*($P101=""),"",IF(($N101&lt;&gt;"")*($N101&gt;TODAY()-9)*($N101&lt;TODAY()+1)*($P101&lt;&gt;"")*($P101&gt;=TODAY())*($P101&lt;=TODAY()+13),"Semaine passée &amp; à venir",IF(($N101&lt;&gt;"")*($N101&gt;TODAY()-9)*($N101&lt;TODAY()+1),"Semaine passée",IF(($P101&lt;&gt;"")*($P101&gt;=TODAY())*($P101&lt;=TODAY()+13),"À venir","Autre"))))</f>
        <v/>
      </c>
      <c r="V101" s="5" cm="1" t="n">
        <f t="array" ref="V101">IF(C101&lt;&gt;"",1,0)</f>
        <v>0</v>
      </c>
      <c r="W101" s="5">
</c>
      <c r="X101" s="5">
</c>
      <c r="Y101" s="5">
</c>
      <c r="Z101" s="5">
</c>
      <c r="AA101" s="5">
</c>
      <c r="AB101" s="5">
</c>
      <c r="AC101" s="5">
</c>
      <c r="AD101" s="5">
</c>
      <c r="AE101" s="5">
</c>
      <c r="AF101" s="5">
</c>
      <c r="AG101" s="5">
</c>
      <c r="AH101" s="5">
</c>
      <c r="AI101" s="5">
</c>
      <c r="AJ101" s="5">
</c>
      <c r="AK101" s="5">
</c>
    </row>
    <row r="102" ht="65.25" customHeight="1">
      <c r="A102" s="6">
</c>
      <c r="B102" s="6">
</c>
      <c r="C102" s="11">
</c>
      <c r="D102" s="11">
</c>
      <c r="E102" s="6">
</c>
      <c r="F102" s="6">
</c>
      <c r="G102" s="6" cm="1" t="str">
        <f t="array" ref="G102">IF(F102="","",SUBSTITUTE(SUBSTITUTE(SUBSTITUTE(SUBSTITUTE(F102,"&lt;li&gt;",CHAR(10)),"&lt;/li&gt;",""),"&lt;br&gt;",CHAR(10)),"&lt;strong&gt;",""))</f>
        <v/>
      </c>
      <c r="H102" s="6" cm="1" t="str">
        <f t="array" ref="H102">IF(G102="","",SUBSTITUTE(SUBSTITUTE(SUBSTITUTE(SUBSTITUTE(SUBSTITUTE(G102,"&lt;p&gt;",""),"&lt;/p&gt;",""),"&lt;ul&gt;",""),"&lt;/ul&gt;",""),"&lt;/strong&gt;",""))</f>
        <v/>
      </c>
      <c r="I102" s="12" cm="1" t="str">
        <f t="array" ref="I102">IF(C102="","",IF(OR(H102="",H102=0,H102=FALSE),"-",H102))</f>
        <v/>
      </c>
      <c r="J102" s="6">
</c>
      <c r="K102" s="6">
</c>
      <c r="L102" s="6" cm="1" t="str">
        <f t="array" ref="L102">IF(C102="","",IF(K102="Mort / Plus rien à faire","KO","OK"))</f>
        <v/>
      </c>
      <c r="M102" s="13">
</c>
      <c r="N102" s="13" cm="1" t="str">
        <f t="array" ref="N102">IF(OR(C102="",M102="",M102=0),"",M102)</f>
        <v/>
      </c>
      <c r="O102" s="13">
</c>
      <c r="P102" s="13" cm="1" t="str">
        <f t="array" ref="P102">IF(C102="","",IF(OR(O102="",O102=0),"-",O102))</f>
        <v/>
      </c>
      <c r="Q102" s="14">
</c>
      <c r="R102" s="6" cm="1" t="str">
        <f t="array" ref="R102">IF(C102="","",ROUND(Q102/1000000,3)&amp;" M€")</f>
        <v/>
      </c>
      <c r="S102" s="15">
</c>
      <c r="T102" s="6" cm="1" t="str">
        <f t="array" ref="T102">IF(C102="","",SUBSTITUTE(S102,"","")&amp;"%")</f>
        <v/>
      </c>
      <c r="U102" s="12" cm="1" t="str">
        <f t="array" ref="U102">IF(($N102="")*($P102=""),"",IF(($N102&lt;&gt;"")*($N102&gt;TODAY()-9)*($N102&lt;TODAY()+1)*($P102&lt;&gt;"")*($P102&gt;=TODAY())*($P102&lt;=TODAY()+13),"Semaine passée &amp; à venir",IF(($N102&lt;&gt;"")*($N102&gt;TODAY()-9)*($N102&lt;TODAY()+1),"Semaine passée",IF(($P102&lt;&gt;"")*($P102&gt;=TODAY())*($P102&lt;=TODAY()+13),"À venir","Autre"))))</f>
        <v/>
      </c>
      <c r="V102" s="5" cm="1" t="n">
        <f t="array" ref="V102">IF(C102&lt;&gt;"",1,0)</f>
        <v>0</v>
      </c>
      <c r="W102" s="5">
</c>
      <c r="X102" s="5">
</c>
      <c r="Y102" s="5">
</c>
      <c r="Z102" s="5">
</c>
      <c r="AA102" s="5">
</c>
      <c r="AB102" s="5">
</c>
      <c r="AC102" s="5">
</c>
      <c r="AD102" s="5">
</c>
      <c r="AE102" s="5">
</c>
      <c r="AF102" s="5">
</c>
      <c r="AG102" s="5">
</c>
      <c r="AH102" s="5">
</c>
      <c r="AI102" s="5">
</c>
      <c r="AJ102" s="5">
</c>
      <c r="AK102" s="5">
</c>
    </row>
  </sheetData>
  <conditionalFormatting sqref="N4:N102">
    <cfRule priority="1" stopIfTrue="0" type="expression" dxfId="0">
      <formula>($N4&lt;&gt;"")*(($N4&gt;TODAY()-9)*($N4&lt;TODAY()+1)+(INT($N4)=TODAY()))
</formula>
    </cfRule>
  </conditionalFormatting>
  <conditionalFormatting sqref="P4:P102">
    <cfRule priority="1" stopIfTrue="0" type="expression" dxfId="1">
      <formula>($P4&lt;&gt;"")*($P4&gt;=TODAY())*($P4&lt;=TODAY()+13)</formula>
    </cfRule>
  </conditionalFormatting>
  <conditionalFormatting sqref="I4:I102">
    <cfRule priority="1" stopIfTrue="0" type="expression" dxfId="0">
      <formula>(($N4&lt;&gt;"")*($N4&gt;TODAY()-9)*($N4&lt;=TODAY())) + (($P4&lt;&gt;"")*($P4&gt;=TODAY())*($P4&lt;=TODAY()+13))</formula>
    </cfRule>
  </conditionalFormatting>
  <conditionalFormatting sqref="U4:U102">
    <cfRule priority="1" stopIfTrue="0" type="containsText" text="Semaine passée &amp; à venir" operator="containsText" dxfId="0">
      <formula>NOT(ISERROR(SEARCH("Semaine passée &amp; à venir",U4)))</formula>
    </cfRule>
  </conditionalFormatting>
  <conditionalFormatting sqref="U4:U102">
    <cfRule priority="1" stopIfTrue="0" type="containsText" text="À venir" operator="containsText" dxfId="0">
      <formula>NOT(ISERROR(SEARCH("À venir",U4)))</formula>
    </cfRule>
  </conditionalFormatting>
  <conditionalFormatting sqref="U4:U102">
    <cfRule priority="1" stopIfTrue="0" type="containsText" text="Semaine passée" operator="containsText" dxfId="0">
      <formula>NOT(ISERROR(SEARCH("Semaine passée",U4)))</formula>
    </cfRule>
  </conditionalFormatting>
  <tableParts count="1">
    <tablePart r:id="rId1"/>
  </tableParts>
</worksheet>
</file>